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basics\Excel\Task 1\"/>
    </mc:Choice>
  </mc:AlternateContent>
  <xr:revisionPtr revIDLastSave="0" documentId="13_ncr:1_{F95DBAEB-27C7-499C-AB43-4730B693F0A4}" xr6:coauthVersionLast="47" xr6:coauthVersionMax="47" xr10:uidLastSave="{00000000-0000-0000-0000-000000000000}"/>
  <bookViews>
    <workbookView xWindow="-108" yWindow="-108" windowWidth="23256" windowHeight="12456" xr2:uid="{206D23A0-E27F-44C4-89F8-7787DC140A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9" i="1" l="1"/>
  <c r="D29" i="1"/>
  <c r="E29" i="1"/>
  <c r="F29" i="1"/>
  <c r="G29" i="1"/>
  <c r="H29" i="1"/>
  <c r="I29" i="1"/>
  <c r="J29" i="1"/>
  <c r="K29" i="1"/>
  <c r="L29" i="1"/>
  <c r="M29" i="1"/>
  <c r="B29" i="1"/>
  <c r="F11" i="1"/>
  <c r="C11" i="1"/>
  <c r="C31" i="1" s="1"/>
  <c r="D11" i="1"/>
  <c r="E11" i="1"/>
  <c r="G11" i="1"/>
  <c r="H11" i="1"/>
  <c r="I11" i="1"/>
  <c r="J11" i="1"/>
  <c r="K11" i="1"/>
  <c r="L11" i="1"/>
  <c r="M11" i="1"/>
  <c r="B11" i="1"/>
  <c r="D31" i="1"/>
  <c r="E31" i="1"/>
  <c r="B31" i="1" l="1"/>
  <c r="N17" i="1" l="1"/>
  <c r="N18" i="1"/>
  <c r="N19" i="1"/>
  <c r="N20" i="1"/>
  <c r="N21" i="1"/>
  <c r="N23" i="1"/>
  <c r="N24" i="1"/>
  <c r="N26" i="1"/>
  <c r="N27" i="1"/>
  <c r="N28" i="1"/>
  <c r="N7" i="1"/>
  <c r="N8" i="1"/>
  <c r="N9" i="1"/>
  <c r="N10" i="1"/>
  <c r="N11" i="1" l="1"/>
  <c r="N29" i="1"/>
  <c r="N31" i="1" l="1"/>
</calcChain>
</file>

<file path=xl/sharedStrings.xml><?xml version="1.0" encoding="utf-8"?>
<sst xmlns="http://schemas.openxmlformats.org/spreadsheetml/2006/main" count="52" uniqueCount="38">
  <si>
    <t>Items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</si>
  <si>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</si>
  <si>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</si>
  <si>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</si>
  <si>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</si>
  <si>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</si>
  <si>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</si>
  <si>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</si>
  <si>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</si>
  <si>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</si>
  <si>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</si>
  <si>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</si>
  <si>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</si>
  <si>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Personal Income, Expense Tracker</t>
  </si>
  <si>
    <t xml:space="preserve">Monthly Savings </t>
  </si>
  <si>
    <t>Salary</t>
  </si>
  <si>
    <t>Rent</t>
  </si>
  <si>
    <t>Dividend, Stock Gain</t>
  </si>
  <si>
    <t>Freelancing</t>
  </si>
  <si>
    <t>YTD</t>
  </si>
  <si>
    <t>Total Income</t>
  </si>
  <si>
    <t>Expenses</t>
  </si>
  <si>
    <t>Income</t>
  </si>
  <si>
    <t>Housing</t>
  </si>
  <si>
    <t>Mortgage or Rent</t>
  </si>
  <si>
    <t>Phone</t>
  </si>
  <si>
    <t>Electricity</t>
  </si>
  <si>
    <t>Gas</t>
  </si>
  <si>
    <t>Other Maintanence</t>
  </si>
  <si>
    <t>Food</t>
  </si>
  <si>
    <t>Groceries</t>
  </si>
  <si>
    <t>Dining Out</t>
  </si>
  <si>
    <t>Transportation</t>
  </si>
  <si>
    <t>Fuel Expenses</t>
  </si>
  <si>
    <t>Bus/Train/Taxi/Flight</t>
  </si>
  <si>
    <t>Vehicle Maintenance</t>
  </si>
  <si>
    <t>Total Expenses</t>
  </si>
  <si>
    <t>Savings/Deficit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</si>
</sst>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_ [$₹-4009]\ * #,##0_ ;_ [$₹-4009]\ * \-#,##0_ ;_ [$₹-4009]\ * &quot;-&quot;??_ ;_ @_ "/>
    <numFmt numFmtId="165" formatCode="_ &quot;₹&quot;\ * #,##0_ ;_ &quot;₹&quot;\ * \-#,##0_ ;_ &quot;₹&quot;\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3" fillId="4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0" fillId="0" borderId="0" xfId="1" applyNumberFormat="1" applyFont="1" applyAlignment="1">
      <alignment vertical="center"/>
    </xf>
    <xf numFmtId="165" fontId="3" fillId="2" borderId="6" xfId="1" applyNumberFormat="1" applyFont="1" applyFill="1" applyBorder="1" applyAlignment="1">
      <alignment vertical="center"/>
    </xf>
    <xf numFmtId="164" fontId="5" fillId="0" borderId="0" xfId="0" applyNumberFormat="1" applyFont="1" applyAlignment="1">
      <alignment horizontal="left" vertical="center"/>
    </xf>
    <xf numFmtId="164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164" fontId="0" fillId="0" borderId="0" xfId="0" applyNumberFormat="1" applyFont="1" applyAlignment="1">
      <alignment vertical="center"/>
    </xf>
  </cellXfs>
  <cellStyles count="2">
    <cellStyle name="Currency" xfId="1" builtinId="4"/>
    <cellStyle name="Normal" xfId="0" builtinId="0"/>
  </cellStyles>
  <dxfs count="6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[$₹-4009]\ * #,##0_ ;_ [$₹-4009]\ * \-#,##0_ ;_ [$₹-4009]\ * &quot;-&quot;??_ ;_ @_ 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[$₹-4009]\ * #,##0_ ;_ [$₹-4009]\ * \-#,##0_ ;_ [$₹-4009]\ * &quot;-&quot;??_ ;_ @_ 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[$₹-4009]\ * #,##0_ ;_ [$₹-4009]\ * \-#,##0_ ;_ [$₹-4009]\ * &quot;-&quot;??_ ;_ @_ 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[$₹-4009]\ * #,##0_ ;_ [$₹-4009]\ * \-#,##0_ ;_ [$₹-4009]\ * &quot;-&quot;??_ ;_ @_ 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[$₹-4009]\ * #,##0_ ;_ [$₹-4009]\ * \-#,##0_ ;_ [$₹-4009]\ * &quot;-&quot;??_ ;_ @_ 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[$₹-4009]\ * #,##0_ ;_ [$₹-4009]\ * \-#,##0_ ;_ [$₹-4009]\ * &quot;-&quot;??_ ;_ @_ 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[$₹-4009]\ * #,##0_ ;_ [$₹-4009]\ * \-#,##0_ ;_ [$₹-4009]\ * &quot;-&quot;??_ ;_ @_ 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[$₹-4009]\ * #,##0_ ;_ [$₹-4009]\ * \-#,##0_ ;_ [$₹-4009]\ * &quot;-&quot;??_ ;_ @_ 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[$₹-4009]\ * #,##0_ ;_ [$₹-4009]\ * \-#,##0_ ;_ [$₹-4009]\ * &quot;-&quot;??_ ;_ @_ 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[$₹-4009]\ * #,##0_ ;_ [$₹-4009]\ * \-#,##0_ ;_ [$₹-4009]\ * &quot;-&quot;??_ ;_ @_ 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[$₹-4009]\ * #,##0_ ;_ [$₹-4009]\ * \-#,##0_ ;_ [$₹-4009]\ * &quot;-&quot;??_ ;_ @_ 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[$₹-4009]\ * #,##0_ ;_ [$₹-4009]\ * \-#,##0_ ;_ [$₹-4009]\ * &quot;-&quot;??_ ;_ @_ 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[$₹-4009]\ * #,##0_ ;_ [$₹-4009]\ * \-#,##0_ ;_ [$₹-4009]\ * &quot;-&quot;??_ ;_ @_ 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</dxf>
    <dxf>
      <numFmt numFmtId="164" formatCode="_ [$₹-4009]\ * #,##0_ ;_ [$₹-4009]\ * \-#,##0_ ;_ [$₹-4009]\ * &quot;-&quot;??_ ;_ @_ "/>
      <alignment horizontal="general" vertical="center" textRotation="0" wrapText="0" indent="0" justifyLastLine="0" shrinkToFit="0" readingOrder="0"/>
    </dxf>
    <dxf>
      <numFmt numFmtId="164" formatCode="_ [$₹-4009]\ * #,##0_ ;_ [$₹-4009]\ * \-#,##0_ ;_ [$₹-4009]\ * &quot;-&quot;??_ ;_ @_ "/>
      <alignment horizontal="general" vertical="center" textRotation="0" wrapText="0" indent="0" justifyLastLine="0" shrinkToFit="0" readingOrder="0"/>
    </dxf>
    <dxf>
      <numFmt numFmtId="164" formatCode="_ [$₹-4009]\ * #,##0_ ;_ [$₹-4009]\ * \-#,##0_ ;_ [$₹-4009]\ * &quot;-&quot;??_ ;_ @_ "/>
      <alignment horizontal="general" vertical="center" textRotation="0" wrapText="0" indent="0" justifyLastLine="0" shrinkToFit="0" readingOrder="0"/>
    </dxf>
    <dxf>
      <numFmt numFmtId="164" formatCode="_ [$₹-4009]\ * #,##0_ ;_ [$₹-4009]\ * \-#,##0_ ;_ [$₹-4009]\ * &quot;-&quot;??_ ;_ @_ "/>
      <alignment horizontal="general" vertical="center" textRotation="0" wrapText="0" indent="0" justifyLastLine="0" shrinkToFit="0" readingOrder="0"/>
    </dxf>
    <dxf>
      <numFmt numFmtId="164" formatCode="_ [$₹-4009]\ * #,##0_ ;_ [$₹-4009]\ * \-#,##0_ ;_ [$₹-4009]\ * &quot;-&quot;??_ ;_ @_ "/>
      <alignment horizontal="general" vertical="center" textRotation="0" wrapText="0" indent="0" justifyLastLine="0" shrinkToFit="0" readingOrder="0"/>
    </dxf>
    <dxf>
      <numFmt numFmtId="164" formatCode="_ [$₹-4009]\ * #,##0_ ;_ [$₹-4009]\ * \-#,##0_ ;_ [$₹-4009]\ * &quot;-&quot;??_ ;_ @_ "/>
      <alignment horizontal="general" vertical="center" textRotation="0" wrapText="0" indent="0" justifyLastLine="0" shrinkToFit="0" readingOrder="0"/>
    </dxf>
    <dxf>
      <numFmt numFmtId="164" formatCode="_ [$₹-4009]\ * #,##0_ ;_ [$₹-4009]\ * \-#,##0_ ;_ [$₹-4009]\ * &quot;-&quot;??_ ;_ @_ "/>
      <alignment horizontal="general" vertical="center" textRotation="0" wrapText="0" indent="0" justifyLastLine="0" shrinkToFit="0" readingOrder="0"/>
    </dxf>
    <dxf>
      <numFmt numFmtId="164" formatCode="_ [$₹-4009]\ * #,##0_ ;_ [$₹-4009]\ * \-#,##0_ ;_ [$₹-4009]\ * &quot;-&quot;??_ ;_ @_ "/>
      <alignment horizontal="general" vertical="center" textRotation="0" wrapText="0" indent="0" justifyLastLine="0" shrinkToFit="0" readingOrder="0"/>
    </dxf>
    <dxf>
      <numFmt numFmtId="164" formatCode="_ [$₹-4009]\ * #,##0_ ;_ [$₹-4009]\ * \-#,##0_ ;_ [$₹-4009]\ * &quot;-&quot;??_ ;_ @_ "/>
      <alignment horizontal="general" vertical="center" textRotation="0" wrapText="0" indent="0" justifyLastLine="0" shrinkToFit="0" readingOrder="0"/>
    </dxf>
    <dxf>
      <numFmt numFmtId="164" formatCode="_ [$₹-4009]\ * #,##0_ ;_ [$₹-4009]\ * \-#,##0_ ;_ [$₹-4009]\ * &quot;-&quot;??_ ;_ @_ "/>
      <alignment horizontal="general" vertical="center" textRotation="0" wrapText="0" indent="0" justifyLastLine="0" shrinkToFit="0" readingOrder="0"/>
    </dxf>
    <dxf>
      <numFmt numFmtId="164" formatCode="_ [$₹-4009]\ * #,##0_ ;_ [$₹-4009]\ * \-#,##0_ ;_ [$₹-4009]\ * &quot;-&quot;??_ ;_ @_ "/>
      <alignment horizontal="general" vertical="center" textRotation="0" wrapText="0" indent="0" justifyLastLine="0" shrinkToFit="0" readingOrder="0"/>
    </dxf>
    <dxf>
      <numFmt numFmtId="164" formatCode="_ [$₹-4009]\ * #,##0_ ;_ [$₹-4009]\ * \-#,##0_ ;_ [$₹-4009]\ * &quot;-&quot;??_ ;_ @_ "/>
      <alignment horizontal="general" vertical="center" textRotation="0" wrapText="0" indent="0" justifyLastLine="0" shrinkToFit="0" readingOrder="0"/>
    </dxf>
    <dxf>
      <numFmt numFmtId="164" formatCode="_ [$₹-4009]\ * #,##0_ ;_ [$₹-4009]\ * \-#,##0_ ;_ [$₹-4009]\ * &quot;-&quot;??_ ;_ @_ 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</dxf>
    <dxf>
      <numFmt numFmtId="164" formatCode="_ [$₹-4009]\ * #,##0_ ;_ [$₹-4009]\ * \-#,##0_ ;_ [$₹-4009]\ * &quot;-&quot;??_ ;_ @_ "/>
      <alignment horizontal="general" vertical="center" textRotation="0" wrapText="0" indent="0" justifyLastLine="0" shrinkToFit="0" readingOrder="0"/>
    </dxf>
    <dxf>
      <numFmt numFmtId="164" formatCode="_ [$₹-4009]\ * #,##0_ ;_ [$₹-4009]\ * \-#,##0_ ;_ [$₹-4009]\ * &quot;-&quot;??_ ;_ @_ "/>
      <alignment horizontal="general" vertical="center" textRotation="0" wrapText="0" indent="0" justifyLastLine="0" shrinkToFit="0" readingOrder="0"/>
    </dxf>
    <dxf>
      <numFmt numFmtId="164" formatCode="_ [$₹-4009]\ * #,##0_ ;_ [$₹-4009]\ * \-#,##0_ ;_ [$₹-4009]\ * &quot;-&quot;??_ ;_ @_ "/>
      <alignment horizontal="general" vertical="center" textRotation="0" wrapText="0" indent="0" justifyLastLine="0" shrinkToFit="0" readingOrder="0"/>
    </dxf>
    <dxf>
      <numFmt numFmtId="164" formatCode="_ [$₹-4009]\ * #,##0_ ;_ [$₹-4009]\ * \-#,##0_ ;_ [$₹-4009]\ * &quot;-&quot;??_ ;_ @_ "/>
      <alignment horizontal="general" vertical="center" textRotation="0" wrapText="0" indent="0" justifyLastLine="0" shrinkToFit="0" readingOrder="0"/>
    </dxf>
    <dxf>
      <numFmt numFmtId="164" formatCode="_ [$₹-4009]\ * #,##0_ ;_ [$₹-4009]\ * \-#,##0_ ;_ [$₹-4009]\ * &quot;-&quot;??_ ;_ @_ "/>
      <alignment horizontal="general" vertical="center" textRotation="0" wrapText="0" indent="0" justifyLastLine="0" shrinkToFit="0" readingOrder="0"/>
    </dxf>
    <dxf>
      <numFmt numFmtId="164" formatCode="_ [$₹-4009]\ * #,##0_ ;_ [$₹-4009]\ * \-#,##0_ ;_ [$₹-4009]\ * &quot;-&quot;??_ ;_ @_ "/>
      <alignment horizontal="general" vertical="center" textRotation="0" wrapText="0" indent="0" justifyLastLine="0" shrinkToFit="0" readingOrder="0"/>
    </dxf>
    <dxf>
      <numFmt numFmtId="164" formatCode="_ [$₹-4009]\ * #,##0_ ;_ [$₹-4009]\ * \-#,##0_ ;_ [$₹-4009]\ * &quot;-&quot;??_ ;_ @_ "/>
      <alignment horizontal="general" vertical="center" textRotation="0" wrapText="0" indent="0" justifyLastLine="0" shrinkToFit="0" readingOrder="0"/>
    </dxf>
    <dxf>
      <numFmt numFmtId="164" formatCode="_ [$₹-4009]\ * #,##0_ ;_ [$₹-4009]\ * \-#,##0_ ;_ [$₹-4009]\ * &quot;-&quot;??_ ;_ @_ "/>
      <alignment horizontal="general" vertical="center" textRotation="0" wrapText="0" indent="0" justifyLastLine="0" shrinkToFit="0" readingOrder="0"/>
    </dxf>
    <dxf>
      <numFmt numFmtId="164" formatCode="_ [$₹-4009]\ * #,##0_ ;_ [$₹-4009]\ * \-#,##0_ ;_ [$₹-4009]\ * &quot;-&quot;??_ ;_ @_ "/>
      <alignment horizontal="general" vertical="center" textRotation="0" wrapText="0" indent="0" justifyLastLine="0" shrinkToFit="0" readingOrder="0"/>
    </dxf>
    <dxf>
      <numFmt numFmtId="164" formatCode="_ [$₹-4009]\ * #,##0_ ;_ [$₹-4009]\ * \-#,##0_ ;_ [$₹-4009]\ * &quot;-&quot;??_ ;_ @_ "/>
      <alignment horizontal="general" vertical="center" textRotation="0" wrapText="0" indent="0" justifyLastLine="0" shrinkToFit="0" readingOrder="0"/>
    </dxf>
    <dxf>
      <numFmt numFmtId="164" formatCode="_ [$₹-4009]\ * #,##0_ ;_ [$₹-4009]\ * \-#,##0_ ;_ [$₹-4009]\ * &quot;-&quot;??_ ;_ @_ "/>
      <alignment horizontal="general" vertical="center" textRotation="0" wrapText="0" indent="0" justifyLastLine="0" shrinkToFit="0" readingOrder="0"/>
    </dxf>
    <dxf>
      <numFmt numFmtId="164" formatCode="_ [$₹-4009]\ * #,##0_ ;_ [$₹-4009]\ * \-#,##0_ ;_ [$₹-4009]\ * &quot;-&quot;??_ ;_ @_ "/>
      <alignment horizontal="general" vertical="center" textRotation="0" wrapText="0" indent="0" justifyLastLine="0" shrinkToFit="0" readingOrder="0"/>
    </dxf>
    <dxf>
      <numFmt numFmtId="164" formatCode="_ [$₹-4009]\ * #,##0_ ;_ [$₹-4009]\ * \-#,##0_ ;_ [$₹-4009]\ * &quot;-&quot;??_ ;_ @_ 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numFmt numFmtId="166" formatCode="_ [$₹-4009]\ * #,##0.0_ ;_ [$₹-4009]\ * \-#,##0.0_ ;_ [$₹-4009]\ * &quot;-&quot;??_ ;_ @_ "/>
      <alignment horizontal="general" vertical="center" textRotation="0" wrapText="0" indent="0" justifyLastLine="0" shrinkToFit="0" readingOrder="0"/>
    </dxf>
    <dxf>
      <numFmt numFmtId="166" formatCode="_ [$₹-4009]\ * #,##0.0_ ;_ [$₹-4009]\ * \-#,##0.0_ ;_ [$₹-4009]\ * &quot;-&quot;??_ ;_ @_ "/>
      <alignment horizontal="general" vertical="center" textRotation="0" wrapText="0" indent="0" justifyLastLine="0" shrinkToFit="0" readingOrder="0"/>
    </dxf>
    <dxf>
      <numFmt numFmtId="166" formatCode="_ [$₹-4009]\ * #,##0.0_ ;_ [$₹-4009]\ * \-#,##0.0_ ;_ [$₹-4009]\ * &quot;-&quot;??_ ;_ @_ "/>
      <alignment horizontal="general" vertical="center" textRotation="0" wrapText="0" indent="0" justifyLastLine="0" shrinkToFit="0" readingOrder="0"/>
    </dxf>
    <dxf>
      <numFmt numFmtId="166" formatCode="_ [$₹-4009]\ * #,##0.0_ ;_ [$₹-4009]\ * \-#,##0.0_ ;_ [$₹-4009]\ * &quot;-&quot;??_ ;_ @_ "/>
      <alignment horizontal="general" vertical="center" textRotation="0" wrapText="0" indent="0" justifyLastLine="0" shrinkToFit="0" readingOrder="0"/>
    </dxf>
    <dxf>
      <numFmt numFmtId="166" formatCode="_ [$₹-4009]\ * #,##0.0_ ;_ [$₹-4009]\ * \-#,##0.0_ ;_ [$₹-4009]\ * &quot;-&quot;??_ ;_ @_ "/>
      <alignment horizontal="general" vertical="center" textRotation="0" wrapText="0" indent="0" justifyLastLine="0" shrinkToFit="0" readingOrder="0"/>
    </dxf>
    <dxf>
      <numFmt numFmtId="166" formatCode="_ [$₹-4009]\ * #,##0.0_ ;_ [$₹-4009]\ * \-#,##0.0_ ;_ [$₹-4009]\ * &quot;-&quot;??_ ;_ @_ "/>
      <alignment horizontal="general" vertical="center" textRotation="0" wrapText="0" indent="0" justifyLastLine="0" shrinkToFit="0" readingOrder="0"/>
    </dxf>
    <dxf>
      <numFmt numFmtId="166" formatCode="_ [$₹-4009]\ * #,##0.0_ ;_ [$₹-4009]\ * \-#,##0.0_ ;_ [$₹-4009]\ * &quot;-&quot;??_ ;_ @_ "/>
      <alignment horizontal="general" vertical="center" textRotation="0" wrapText="0" indent="0" justifyLastLine="0" shrinkToFit="0" readingOrder="0"/>
    </dxf>
    <dxf>
      <numFmt numFmtId="166" formatCode="_ [$₹-4009]\ * #,##0.0_ ;_ [$₹-4009]\ * \-#,##0.0_ ;_ [$₹-4009]\ * &quot;-&quot;??_ ;_ @_ "/>
      <alignment horizontal="general" vertical="center" textRotation="0" wrapText="0" indent="0" justifyLastLine="0" shrinkToFit="0" readingOrder="0"/>
    </dxf>
    <dxf>
      <numFmt numFmtId="166" formatCode="_ [$₹-4009]\ * #,##0.0_ ;_ [$₹-4009]\ * \-#,##0.0_ ;_ [$₹-4009]\ * &quot;-&quot;??_ ;_ @_ "/>
      <alignment horizontal="general" vertical="center" textRotation="0" wrapText="0" indent="0" justifyLastLine="0" shrinkToFit="0" readingOrder="0"/>
    </dxf>
    <dxf>
      <numFmt numFmtId="166" formatCode="_ [$₹-4009]\ * #,##0.0_ ;_ [$₹-4009]\ * \-#,##0.0_ ;_ [$₹-4009]\ * &quot;-&quot;??_ ;_ @_ "/>
      <alignment horizontal="general" vertical="center" textRotation="0" wrapText="0" indent="0" justifyLastLine="0" shrinkToFit="0" readingOrder="0"/>
    </dxf>
    <dxf>
      <numFmt numFmtId="166" formatCode="_ [$₹-4009]\ * #,##0.0_ ;_ [$₹-4009]\ * \-#,##0.0_ ;_ [$₹-4009]\ * &quot;-&quot;??_ ;_ @_ "/>
      <alignment horizontal="general" vertical="center" textRotation="0" wrapText="0" indent="0" justifyLastLine="0" shrinkToFit="0" readingOrder="0"/>
    </dxf>
    <dxf>
      <numFmt numFmtId="166" formatCode="_ [$₹-4009]\ * #,##0.0_ ;_ [$₹-4009]\ * \-#,##0.0_ ;_ [$₹-4009]\ * &quot;-&quot;??_ ;_ @_ "/>
      <alignment horizontal="general" vertical="center" textRotation="0" wrapText="0" indent="0" justifyLastLine="0" shrinkToFit="0" readingOrder="0"/>
    </dxf>
    <dxf>
      <numFmt numFmtId="166" formatCode="_ [$₹-4009]\ * #,##0.0_ ;_ [$₹-4009]\ * \-#,##0.0_ ;_ [$₹-4009]\ * &quot;-&quot;??_ ;_ @_ 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border>
        <top style="medium">
          <color indexed="64"/>
        </top>
      </border>
    </dxf>
    <dxf>
      <border outline="0">
        <top style="thin">
          <color theme="4" tint="0.39997558519241921"/>
        </top>
      </border>
    </dxf>
    <dxf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border>
        <top style="medium">
          <color indexed="64"/>
        </top>
      </border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344772528433946"/>
          <c:y val="0.19689814814814816"/>
          <c:w val="0.85219685039370074"/>
          <c:h val="0.366135535141440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Sheet1!$C$15</c:f>
              <c:strCache>
                <c:ptCount val="1"/>
                <c:pt idx="0">
                  <c:v>Feb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Sheet1!$A$16:$A$28</c15:sqref>
                  </c15:fullRef>
                </c:ext>
              </c:extLst>
              <c:f>(Sheet1!$A$17:$A$21,Sheet1!$A$23:$A$24,Sheet1!$A$26:$A$28)</c:f>
              <c:strCache>
                <c:ptCount val="10"/>
                <c:pt idx="0">
                  <c:v>Mortgage or Rent</c:v>
                </c:pt>
                <c:pt idx="1">
                  <c:v>Phone</c:v>
                </c:pt>
                <c:pt idx="2">
                  <c:v>Electricity</c:v>
                </c:pt>
                <c:pt idx="3">
                  <c:v>Gas</c:v>
                </c:pt>
                <c:pt idx="4">
                  <c:v>Other Maintanence</c:v>
                </c:pt>
                <c:pt idx="5">
                  <c:v>Groceries</c:v>
                </c:pt>
                <c:pt idx="6">
                  <c:v>Dining Out</c:v>
                </c:pt>
                <c:pt idx="7">
                  <c:v>Fuel Expenses</c:v>
                </c:pt>
                <c:pt idx="8">
                  <c:v>Bus/Train/Taxi/Flight</c:v>
                </c:pt>
                <c:pt idx="9">
                  <c:v>Vehicle Maintenance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Sheet1!$C$16:$C$28</c15:sqref>
                  </c15:fullRef>
                </c:ext>
              </c:extLst>
              <c:f>(Sheet1!$C$17:$C$21,Sheet1!$C$23:$C$24,Sheet1!$C$26:$C$28)</c:f>
              <c:numCache>
                <c:formatCode>_ [$₹-4009]\ * #,##0_ ;_ [$₹-4009]\ * \-#,##0_ ;_ [$₹-4009]\ * "-"??_ ;_ @_ </c:formatCode>
                <c:ptCount val="10"/>
                <c:pt idx="0">
                  <c:v>23000</c:v>
                </c:pt>
                <c:pt idx="1">
                  <c:v>400</c:v>
                </c:pt>
                <c:pt idx="2">
                  <c:v>1600</c:v>
                </c:pt>
                <c:pt idx="3">
                  <c:v>950</c:v>
                </c:pt>
                <c:pt idx="4">
                  <c:v>230</c:v>
                </c:pt>
                <c:pt idx="5">
                  <c:v>180</c:v>
                </c:pt>
                <c:pt idx="6">
                  <c:v>45</c:v>
                </c:pt>
                <c:pt idx="7">
                  <c:v>100</c:v>
                </c:pt>
                <c:pt idx="8">
                  <c:v>5</c:v>
                </c:pt>
                <c:pt idx="9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F4-4C30-8059-510E39339AB0}"/>
            </c:ext>
          </c:extLst>
        </c:ser>
        <c:ser>
          <c:idx val="1"/>
          <c:order val="1"/>
          <c:tx>
            <c:strRef>
              <c:f>Sheet1!$D$15</c:f>
              <c:strCache>
                <c:ptCount val="1"/>
                <c:pt idx="0">
                  <c:v>Mar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Sheet1!$A$16:$A$28</c15:sqref>
                  </c15:fullRef>
                </c:ext>
              </c:extLst>
              <c:f>(Sheet1!$A$17:$A$21,Sheet1!$A$23:$A$24,Sheet1!$A$26:$A$28)</c:f>
              <c:strCache>
                <c:ptCount val="10"/>
                <c:pt idx="0">
                  <c:v>Mortgage or Rent</c:v>
                </c:pt>
                <c:pt idx="1">
                  <c:v>Phone</c:v>
                </c:pt>
                <c:pt idx="2">
                  <c:v>Electricity</c:v>
                </c:pt>
                <c:pt idx="3">
                  <c:v>Gas</c:v>
                </c:pt>
                <c:pt idx="4">
                  <c:v>Other Maintanence</c:v>
                </c:pt>
                <c:pt idx="5">
                  <c:v>Groceries</c:v>
                </c:pt>
                <c:pt idx="6">
                  <c:v>Dining Out</c:v>
                </c:pt>
                <c:pt idx="7">
                  <c:v>Fuel Expenses</c:v>
                </c:pt>
                <c:pt idx="8">
                  <c:v>Bus/Train/Taxi/Flight</c:v>
                </c:pt>
                <c:pt idx="9">
                  <c:v>Vehicle Maintenance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Sheet1!$D$16:$D$28</c15:sqref>
                  </c15:fullRef>
                </c:ext>
              </c:extLst>
              <c:f>(Sheet1!$D$17:$D$21,Sheet1!$D$23:$D$24,Sheet1!$D$26:$D$28)</c:f>
              <c:numCache>
                <c:formatCode>_ [$₹-4009]\ * #,##0_ ;_ [$₹-4009]\ * \-#,##0_ ;_ [$₹-4009]\ * "-"??_ ;_ @_ </c:formatCode>
                <c:ptCount val="10"/>
                <c:pt idx="0">
                  <c:v>23000</c:v>
                </c:pt>
                <c:pt idx="1">
                  <c:v>400</c:v>
                </c:pt>
                <c:pt idx="2">
                  <c:v>2300</c:v>
                </c:pt>
                <c:pt idx="3">
                  <c:v>940</c:v>
                </c:pt>
                <c:pt idx="4">
                  <c:v>2350</c:v>
                </c:pt>
                <c:pt idx="5">
                  <c:v>160</c:v>
                </c:pt>
                <c:pt idx="6">
                  <c:v>37</c:v>
                </c:pt>
                <c:pt idx="7">
                  <c:v>67</c:v>
                </c:pt>
                <c:pt idx="8">
                  <c:v>9</c:v>
                </c:pt>
                <c:pt idx="9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F4-4C30-8059-510E39339AB0}"/>
            </c:ext>
          </c:extLst>
        </c:ser>
        <c:ser>
          <c:idx val="2"/>
          <c:order val="2"/>
          <c:tx>
            <c:strRef>
              <c:f>Sheet1!$E$15</c:f>
              <c:strCache>
                <c:ptCount val="1"/>
                <c:pt idx="0">
                  <c:v>Apr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Sheet1!$A$16:$A$28</c15:sqref>
                  </c15:fullRef>
                </c:ext>
              </c:extLst>
              <c:f>(Sheet1!$A$17:$A$21,Sheet1!$A$23:$A$24,Sheet1!$A$26:$A$28)</c:f>
              <c:strCache>
                <c:ptCount val="10"/>
                <c:pt idx="0">
                  <c:v>Mortgage or Rent</c:v>
                </c:pt>
                <c:pt idx="1">
                  <c:v>Phone</c:v>
                </c:pt>
                <c:pt idx="2">
                  <c:v>Electricity</c:v>
                </c:pt>
                <c:pt idx="3">
                  <c:v>Gas</c:v>
                </c:pt>
                <c:pt idx="4">
                  <c:v>Other Maintanence</c:v>
                </c:pt>
                <c:pt idx="5">
                  <c:v>Groceries</c:v>
                </c:pt>
                <c:pt idx="6">
                  <c:v>Dining Out</c:v>
                </c:pt>
                <c:pt idx="7">
                  <c:v>Fuel Expenses</c:v>
                </c:pt>
                <c:pt idx="8">
                  <c:v>Bus/Train/Taxi/Flight</c:v>
                </c:pt>
                <c:pt idx="9">
                  <c:v>Vehicle Maintenance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Sheet1!$E$16:$E$28</c15:sqref>
                  </c15:fullRef>
                </c:ext>
              </c:extLst>
              <c:f>(Sheet1!$E$17:$E$21,Sheet1!$E$23:$E$24,Sheet1!$E$26:$E$28)</c:f>
              <c:numCache>
                <c:formatCode>_ [$₹-4009]\ * #,##0_ ;_ [$₹-4009]\ * \-#,##0_ ;_ [$₹-4009]\ * "-"??_ ;_ @_ </c:formatCode>
                <c:ptCount val="10"/>
                <c:pt idx="0">
                  <c:v>22500</c:v>
                </c:pt>
                <c:pt idx="1">
                  <c:v>400</c:v>
                </c:pt>
                <c:pt idx="2">
                  <c:v>2800</c:v>
                </c:pt>
                <c:pt idx="3">
                  <c:v>1020</c:v>
                </c:pt>
                <c:pt idx="4">
                  <c:v>1540</c:v>
                </c:pt>
                <c:pt idx="5">
                  <c:v>210</c:v>
                </c:pt>
                <c:pt idx="6">
                  <c:v>0</c:v>
                </c:pt>
                <c:pt idx="7">
                  <c:v>140</c:v>
                </c:pt>
                <c:pt idx="8">
                  <c:v>0</c:v>
                </c:pt>
                <c:pt idx="9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F4-4C30-8059-510E39339A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968240"/>
        <c:axId val="57996560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Sheet1!$F$15</c15:sqref>
                        </c15:formulaRef>
                      </c:ext>
                    </c:extLst>
                    <c:strCache>
                      <c:ptCount val="1"/>
                      <c:pt idx="0">
                        <c:v>May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Sheet1!$A$16:$A$28</c15:sqref>
                        </c15:fullRef>
                        <c15:formulaRef>
                          <c15:sqref>(Sheet1!$A$17:$A$21,Sheet1!$A$23:$A$24,Sheet1!$A$26:$A$28)</c15:sqref>
                        </c15:formulaRef>
                      </c:ext>
                    </c:extLst>
                    <c:strCache>
                      <c:ptCount val="10"/>
                      <c:pt idx="0">
                        <c:v>Mortgage or Rent</c:v>
                      </c:pt>
                      <c:pt idx="1">
                        <c:v>Phone</c:v>
                      </c:pt>
                      <c:pt idx="2">
                        <c:v>Electricity</c:v>
                      </c:pt>
                      <c:pt idx="3">
                        <c:v>Gas</c:v>
                      </c:pt>
                      <c:pt idx="4">
                        <c:v>Other Maintanence</c:v>
                      </c:pt>
                      <c:pt idx="5">
                        <c:v>Groceries</c:v>
                      </c:pt>
                      <c:pt idx="6">
                        <c:v>Dining Out</c:v>
                      </c:pt>
                      <c:pt idx="7">
                        <c:v>Fuel Expenses</c:v>
                      </c:pt>
                      <c:pt idx="8">
                        <c:v>Bus/Train/Taxi/Flight</c:v>
                      </c:pt>
                      <c:pt idx="9">
                        <c:v>Vehicle Maintenance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Sheet1!$F$16:$F$28</c15:sqref>
                        </c15:fullRef>
                        <c15:formulaRef>
                          <c15:sqref>(Sheet1!$F$17:$F$21,Sheet1!$F$23:$F$24,Sheet1!$F$26:$F$28)</c15:sqref>
                        </c15:formulaRef>
                      </c:ext>
                    </c:extLst>
                    <c:numCache>
                      <c:formatCode>_ [$₹-4009]\ * #,##0_ ;_ [$₹-4009]\ * \-#,##0_ ;_ [$₹-4009]\ * "-"??_ ;_ @_ </c:formatCode>
                      <c:ptCount val="10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3FF4-4C30-8059-510E39339AB0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Sheet1!$G$15</c15:sqref>
                        </c15:formulaRef>
                      </c:ext>
                    </c:extLst>
                    <c:strCache>
                      <c:ptCount val="1"/>
                      <c:pt idx="0">
                        <c:v>Jun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5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5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Sheet1!$A$16:$A$28</c15:sqref>
                        </c15:fullRef>
                        <c15:formulaRef>
                          <c15:sqref>(Sheet1!$A$17:$A$21,Sheet1!$A$23:$A$24,Sheet1!$A$26:$A$28)</c15:sqref>
                        </c15:formulaRef>
                      </c:ext>
                    </c:extLst>
                    <c:strCache>
                      <c:ptCount val="10"/>
                      <c:pt idx="0">
                        <c:v>Mortgage or Rent</c:v>
                      </c:pt>
                      <c:pt idx="1">
                        <c:v>Phone</c:v>
                      </c:pt>
                      <c:pt idx="2">
                        <c:v>Electricity</c:v>
                      </c:pt>
                      <c:pt idx="3">
                        <c:v>Gas</c:v>
                      </c:pt>
                      <c:pt idx="4">
                        <c:v>Other Maintanence</c:v>
                      </c:pt>
                      <c:pt idx="5">
                        <c:v>Groceries</c:v>
                      </c:pt>
                      <c:pt idx="6">
                        <c:v>Dining Out</c:v>
                      </c:pt>
                      <c:pt idx="7">
                        <c:v>Fuel Expenses</c:v>
                      </c:pt>
                      <c:pt idx="8">
                        <c:v>Bus/Train/Taxi/Flight</c:v>
                      </c:pt>
                      <c:pt idx="9">
                        <c:v>Vehicle Maintenance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Sheet1!$G$16:$G$28</c15:sqref>
                        </c15:fullRef>
                        <c15:formulaRef>
                          <c15:sqref>(Sheet1!$G$17:$G$21,Sheet1!$G$23:$G$24,Sheet1!$G$26:$G$28)</c15:sqref>
                        </c15:formulaRef>
                      </c:ext>
                    </c:extLst>
                    <c:numCache>
                      <c:formatCode>_ [$₹-4009]\ * #,##0_ ;_ [$₹-4009]\ * \-#,##0_ ;_ [$₹-4009]\ * "-"??_ ;_ @_ </c:formatCode>
                      <c:ptCount val="10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FF4-4C30-8059-510E39339AB0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Sheet1!$H$15</c15:sqref>
                        </c15:formulaRef>
                      </c:ext>
                    </c:extLst>
                    <c:strCache>
                      <c:ptCount val="1"/>
                      <c:pt idx="0">
                        <c:v>Jul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6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6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Sheet1!$A$16:$A$28</c15:sqref>
                        </c15:fullRef>
                        <c15:formulaRef>
                          <c15:sqref>(Sheet1!$A$17:$A$21,Sheet1!$A$23:$A$24,Sheet1!$A$26:$A$28)</c15:sqref>
                        </c15:formulaRef>
                      </c:ext>
                    </c:extLst>
                    <c:strCache>
                      <c:ptCount val="10"/>
                      <c:pt idx="0">
                        <c:v>Mortgage or Rent</c:v>
                      </c:pt>
                      <c:pt idx="1">
                        <c:v>Phone</c:v>
                      </c:pt>
                      <c:pt idx="2">
                        <c:v>Electricity</c:v>
                      </c:pt>
                      <c:pt idx="3">
                        <c:v>Gas</c:v>
                      </c:pt>
                      <c:pt idx="4">
                        <c:v>Other Maintanence</c:v>
                      </c:pt>
                      <c:pt idx="5">
                        <c:v>Groceries</c:v>
                      </c:pt>
                      <c:pt idx="6">
                        <c:v>Dining Out</c:v>
                      </c:pt>
                      <c:pt idx="7">
                        <c:v>Fuel Expenses</c:v>
                      </c:pt>
                      <c:pt idx="8">
                        <c:v>Bus/Train/Taxi/Flight</c:v>
                      </c:pt>
                      <c:pt idx="9">
                        <c:v>Vehicle Maintenance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Sheet1!$H$16:$H$28</c15:sqref>
                        </c15:fullRef>
                        <c15:formulaRef>
                          <c15:sqref>(Sheet1!$H$17:$H$21,Sheet1!$H$23:$H$24,Sheet1!$H$26:$H$28)</c15:sqref>
                        </c15:formulaRef>
                      </c:ext>
                    </c:extLst>
                    <c:numCache>
                      <c:formatCode>_ [$₹-4009]\ * #,##0_ ;_ [$₹-4009]\ * \-#,##0_ ;_ [$₹-4009]\ * "-"??_ ;_ @_ </c:formatCode>
                      <c:ptCount val="10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FF4-4C30-8059-510E39339AB0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Sheet1!$I$15</c15:sqref>
                        </c15:formulaRef>
                      </c:ext>
                    </c:extLst>
                    <c:strCache>
                      <c:ptCount val="1"/>
                      <c:pt idx="0">
                        <c:v>Aug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Sheet1!$A$16:$A$28</c15:sqref>
                        </c15:fullRef>
                        <c15:formulaRef>
                          <c15:sqref>(Sheet1!$A$17:$A$21,Sheet1!$A$23:$A$24,Sheet1!$A$26:$A$28)</c15:sqref>
                        </c15:formulaRef>
                      </c:ext>
                    </c:extLst>
                    <c:strCache>
                      <c:ptCount val="10"/>
                      <c:pt idx="0">
                        <c:v>Mortgage or Rent</c:v>
                      </c:pt>
                      <c:pt idx="1">
                        <c:v>Phone</c:v>
                      </c:pt>
                      <c:pt idx="2">
                        <c:v>Electricity</c:v>
                      </c:pt>
                      <c:pt idx="3">
                        <c:v>Gas</c:v>
                      </c:pt>
                      <c:pt idx="4">
                        <c:v>Other Maintanence</c:v>
                      </c:pt>
                      <c:pt idx="5">
                        <c:v>Groceries</c:v>
                      </c:pt>
                      <c:pt idx="6">
                        <c:v>Dining Out</c:v>
                      </c:pt>
                      <c:pt idx="7">
                        <c:v>Fuel Expenses</c:v>
                      </c:pt>
                      <c:pt idx="8">
                        <c:v>Bus/Train/Taxi/Flight</c:v>
                      </c:pt>
                      <c:pt idx="9">
                        <c:v>Vehicle Maintenance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Sheet1!$I$16:$I$28</c15:sqref>
                        </c15:fullRef>
                        <c15:formulaRef>
                          <c15:sqref>(Sheet1!$I$17:$I$21,Sheet1!$I$23:$I$24,Sheet1!$I$26:$I$28)</c15:sqref>
                        </c15:formulaRef>
                      </c:ext>
                    </c:extLst>
                    <c:numCache>
                      <c:formatCode>_ [$₹-4009]\ * #,##0_ ;_ [$₹-4009]\ * \-#,##0_ ;_ [$₹-4009]\ * "-"??_ ;_ @_ </c:formatCode>
                      <c:ptCount val="10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FF4-4C30-8059-510E39339AB0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Sheet1!$J$15</c15:sqref>
                        </c15:formulaRef>
                      </c:ext>
                    </c:extLst>
                    <c:strCache>
                      <c:ptCount val="1"/>
                      <c:pt idx="0">
                        <c:v>Sep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Sheet1!$A$16:$A$28</c15:sqref>
                        </c15:fullRef>
                        <c15:formulaRef>
                          <c15:sqref>(Sheet1!$A$17:$A$21,Sheet1!$A$23:$A$24,Sheet1!$A$26:$A$28)</c15:sqref>
                        </c15:formulaRef>
                      </c:ext>
                    </c:extLst>
                    <c:strCache>
                      <c:ptCount val="10"/>
                      <c:pt idx="0">
                        <c:v>Mortgage or Rent</c:v>
                      </c:pt>
                      <c:pt idx="1">
                        <c:v>Phone</c:v>
                      </c:pt>
                      <c:pt idx="2">
                        <c:v>Electricity</c:v>
                      </c:pt>
                      <c:pt idx="3">
                        <c:v>Gas</c:v>
                      </c:pt>
                      <c:pt idx="4">
                        <c:v>Other Maintanence</c:v>
                      </c:pt>
                      <c:pt idx="5">
                        <c:v>Groceries</c:v>
                      </c:pt>
                      <c:pt idx="6">
                        <c:v>Dining Out</c:v>
                      </c:pt>
                      <c:pt idx="7">
                        <c:v>Fuel Expenses</c:v>
                      </c:pt>
                      <c:pt idx="8">
                        <c:v>Bus/Train/Taxi/Flight</c:v>
                      </c:pt>
                      <c:pt idx="9">
                        <c:v>Vehicle Maintenance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Sheet1!$J$16:$J$28</c15:sqref>
                        </c15:fullRef>
                        <c15:formulaRef>
                          <c15:sqref>(Sheet1!$J$17:$J$21,Sheet1!$J$23:$J$24,Sheet1!$J$26:$J$28)</c15:sqref>
                        </c15:formulaRef>
                      </c:ext>
                    </c:extLst>
                    <c:numCache>
                      <c:formatCode>_ [$₹-4009]\ * #,##0_ ;_ [$₹-4009]\ * \-#,##0_ ;_ [$₹-4009]\ * "-"??_ ;_ @_ </c:formatCode>
                      <c:ptCount val="10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FF4-4C30-8059-510E39339AB0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Sheet1!$K$15</c15:sqref>
                        </c15:formulaRef>
                      </c:ext>
                    </c:extLst>
                    <c:strCache>
                      <c:ptCount val="1"/>
                      <c:pt idx="0">
                        <c:v>Oct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Sheet1!$A$16:$A$28</c15:sqref>
                        </c15:fullRef>
                        <c15:formulaRef>
                          <c15:sqref>(Sheet1!$A$17:$A$21,Sheet1!$A$23:$A$24,Sheet1!$A$26:$A$28)</c15:sqref>
                        </c15:formulaRef>
                      </c:ext>
                    </c:extLst>
                    <c:strCache>
                      <c:ptCount val="10"/>
                      <c:pt idx="0">
                        <c:v>Mortgage or Rent</c:v>
                      </c:pt>
                      <c:pt idx="1">
                        <c:v>Phone</c:v>
                      </c:pt>
                      <c:pt idx="2">
                        <c:v>Electricity</c:v>
                      </c:pt>
                      <c:pt idx="3">
                        <c:v>Gas</c:v>
                      </c:pt>
                      <c:pt idx="4">
                        <c:v>Other Maintanence</c:v>
                      </c:pt>
                      <c:pt idx="5">
                        <c:v>Groceries</c:v>
                      </c:pt>
                      <c:pt idx="6">
                        <c:v>Dining Out</c:v>
                      </c:pt>
                      <c:pt idx="7">
                        <c:v>Fuel Expenses</c:v>
                      </c:pt>
                      <c:pt idx="8">
                        <c:v>Bus/Train/Taxi/Flight</c:v>
                      </c:pt>
                      <c:pt idx="9">
                        <c:v>Vehicle Maintenance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Sheet1!$K$16:$K$28</c15:sqref>
                        </c15:fullRef>
                        <c15:formulaRef>
                          <c15:sqref>(Sheet1!$K$17:$K$21,Sheet1!$K$23:$K$24,Sheet1!$K$26:$K$28)</c15:sqref>
                        </c15:formulaRef>
                      </c:ext>
                    </c:extLst>
                    <c:numCache>
                      <c:formatCode>_ [$₹-4009]\ * #,##0_ ;_ [$₹-4009]\ * \-#,##0_ ;_ [$₹-4009]\ * "-"??_ ;_ @_ </c:formatCode>
                      <c:ptCount val="10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3FF4-4C30-8059-510E39339AB0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Sheet1!$L$15</c15:sqref>
                        </c15:formulaRef>
                      </c:ext>
                    </c:extLst>
                    <c:strCache>
                      <c:ptCount val="1"/>
                      <c:pt idx="0">
                        <c:v>Nov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Sheet1!$A$16:$A$28</c15:sqref>
                        </c15:fullRef>
                        <c15:formulaRef>
                          <c15:sqref>(Sheet1!$A$17:$A$21,Sheet1!$A$23:$A$24,Sheet1!$A$26:$A$28)</c15:sqref>
                        </c15:formulaRef>
                      </c:ext>
                    </c:extLst>
                    <c:strCache>
                      <c:ptCount val="10"/>
                      <c:pt idx="0">
                        <c:v>Mortgage or Rent</c:v>
                      </c:pt>
                      <c:pt idx="1">
                        <c:v>Phone</c:v>
                      </c:pt>
                      <c:pt idx="2">
                        <c:v>Electricity</c:v>
                      </c:pt>
                      <c:pt idx="3">
                        <c:v>Gas</c:v>
                      </c:pt>
                      <c:pt idx="4">
                        <c:v>Other Maintanence</c:v>
                      </c:pt>
                      <c:pt idx="5">
                        <c:v>Groceries</c:v>
                      </c:pt>
                      <c:pt idx="6">
                        <c:v>Dining Out</c:v>
                      </c:pt>
                      <c:pt idx="7">
                        <c:v>Fuel Expenses</c:v>
                      </c:pt>
                      <c:pt idx="8">
                        <c:v>Bus/Train/Taxi/Flight</c:v>
                      </c:pt>
                      <c:pt idx="9">
                        <c:v>Vehicle Maintenance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Sheet1!$L$16:$L$28</c15:sqref>
                        </c15:fullRef>
                        <c15:formulaRef>
                          <c15:sqref>(Sheet1!$L$17:$L$21,Sheet1!$L$23:$L$24,Sheet1!$L$26:$L$28)</c15:sqref>
                        </c15:formulaRef>
                      </c:ext>
                    </c:extLst>
                    <c:numCache>
                      <c:formatCode>_ [$₹-4009]\ * #,##0_ ;_ [$₹-4009]\ * \-#,##0_ ;_ [$₹-4009]\ * "-"??_ ;_ @_ </c:formatCode>
                      <c:ptCount val="10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3FF4-4C30-8059-510E39339AB0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Sheet1!$M$15</c15:sqref>
                        </c15:formulaRef>
                      </c:ext>
                    </c:extLst>
                    <c:strCache>
                      <c:ptCount val="1"/>
                      <c:pt idx="0">
                        <c:v>Dec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5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5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Sheet1!$A$16:$A$28</c15:sqref>
                        </c15:fullRef>
                        <c15:formulaRef>
                          <c15:sqref>(Sheet1!$A$17:$A$21,Sheet1!$A$23:$A$24,Sheet1!$A$26:$A$28)</c15:sqref>
                        </c15:formulaRef>
                      </c:ext>
                    </c:extLst>
                    <c:strCache>
                      <c:ptCount val="10"/>
                      <c:pt idx="0">
                        <c:v>Mortgage or Rent</c:v>
                      </c:pt>
                      <c:pt idx="1">
                        <c:v>Phone</c:v>
                      </c:pt>
                      <c:pt idx="2">
                        <c:v>Electricity</c:v>
                      </c:pt>
                      <c:pt idx="3">
                        <c:v>Gas</c:v>
                      </c:pt>
                      <c:pt idx="4">
                        <c:v>Other Maintanence</c:v>
                      </c:pt>
                      <c:pt idx="5">
                        <c:v>Groceries</c:v>
                      </c:pt>
                      <c:pt idx="6">
                        <c:v>Dining Out</c:v>
                      </c:pt>
                      <c:pt idx="7">
                        <c:v>Fuel Expenses</c:v>
                      </c:pt>
                      <c:pt idx="8">
                        <c:v>Bus/Train/Taxi/Flight</c:v>
                      </c:pt>
                      <c:pt idx="9">
                        <c:v>Vehicle Maintenance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Sheet1!$M$16:$M$28</c15:sqref>
                        </c15:fullRef>
                        <c15:formulaRef>
                          <c15:sqref>(Sheet1!$M$17:$M$21,Sheet1!$M$23:$M$24,Sheet1!$M$26:$M$28)</c15:sqref>
                        </c15:formulaRef>
                      </c:ext>
                    </c:extLst>
                    <c:numCache>
                      <c:formatCode>_ [$₹-4009]\ * #,##0_ ;_ [$₹-4009]\ * \-#,##0_ ;_ [$₹-4009]\ * "-"??_ ;_ @_ </c:formatCode>
                      <c:ptCount val="10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3FF4-4C30-8059-510E39339AB0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Sheet1!$N$15</c15:sqref>
                        </c15:formulaRef>
                      </c:ext>
                    </c:extLst>
                    <c:strCache>
                      <c:ptCount val="1"/>
                      <c:pt idx="0">
                        <c:v>YTD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6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6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Sheet1!$A$16:$A$28</c15:sqref>
                        </c15:fullRef>
                        <c15:formulaRef>
                          <c15:sqref>(Sheet1!$A$17:$A$21,Sheet1!$A$23:$A$24,Sheet1!$A$26:$A$28)</c15:sqref>
                        </c15:formulaRef>
                      </c:ext>
                    </c:extLst>
                    <c:strCache>
                      <c:ptCount val="10"/>
                      <c:pt idx="0">
                        <c:v>Mortgage or Rent</c:v>
                      </c:pt>
                      <c:pt idx="1">
                        <c:v>Phone</c:v>
                      </c:pt>
                      <c:pt idx="2">
                        <c:v>Electricity</c:v>
                      </c:pt>
                      <c:pt idx="3">
                        <c:v>Gas</c:v>
                      </c:pt>
                      <c:pt idx="4">
                        <c:v>Other Maintanence</c:v>
                      </c:pt>
                      <c:pt idx="5">
                        <c:v>Groceries</c:v>
                      </c:pt>
                      <c:pt idx="6">
                        <c:v>Dining Out</c:v>
                      </c:pt>
                      <c:pt idx="7">
                        <c:v>Fuel Expenses</c:v>
                      </c:pt>
                      <c:pt idx="8">
                        <c:v>Bus/Train/Taxi/Flight</c:v>
                      </c:pt>
                      <c:pt idx="9">
                        <c:v>Vehicle Maintenance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Sheet1!$N$16:$N$28</c15:sqref>
                        </c15:fullRef>
                        <c15:formulaRef>
                          <c15:sqref>(Sheet1!$N$17:$N$21,Sheet1!$N$23:$N$24,Sheet1!$N$26:$N$28)</c15:sqref>
                        </c15:formulaRef>
                      </c:ext>
                    </c:extLst>
                    <c:numCache>
                      <c:formatCode>_ [$₹-4009]\ * #,##0_ ;_ [$₹-4009]\ * \-#,##0_ ;_ [$₹-4009]\ * "-"??_ ;_ @_ </c:formatCode>
                      <c:ptCount val="10"/>
                      <c:pt idx="0">
                        <c:v>91500</c:v>
                      </c:pt>
                      <c:pt idx="1">
                        <c:v>1600</c:v>
                      </c:pt>
                      <c:pt idx="2">
                        <c:v>8400</c:v>
                      </c:pt>
                      <c:pt idx="3">
                        <c:v>3710</c:v>
                      </c:pt>
                      <c:pt idx="4">
                        <c:v>4720</c:v>
                      </c:pt>
                      <c:pt idx="5">
                        <c:v>750</c:v>
                      </c:pt>
                      <c:pt idx="6">
                        <c:v>132</c:v>
                      </c:pt>
                      <c:pt idx="7">
                        <c:v>432</c:v>
                      </c:pt>
                      <c:pt idx="8">
                        <c:v>24</c:v>
                      </c:pt>
                      <c:pt idx="9">
                        <c:v>252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3FF4-4C30-8059-510E39339AB0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968240"/>
        <c:axId val="57996560"/>
        <c:extLst>
          <c:ext xmlns:c15="http://schemas.microsoft.com/office/drawing/2012/chart" uri="{02D57815-91ED-43cb-92C2-25804820EDAC}">
            <c15:filteredLineSeries>
              <c15:ser>
                <c:idx val="12"/>
                <c:order val="12"/>
                <c:tx>
                  <c:strRef>
                    <c:extLst>
                      <c:ext uri="{02D57815-91ED-43cb-92C2-25804820EDAC}">
                        <c15:formulaRef>
                          <c15:sqref>Sheet1!$O$15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3492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Sheet1!$A$16:$A$28</c15:sqref>
                        </c15:fullRef>
                        <c15:formulaRef>
                          <c15:sqref>(Sheet1!$A$17:$A$21,Sheet1!$A$23:$A$24,Sheet1!$A$26:$A$28)</c15:sqref>
                        </c15:formulaRef>
                      </c:ext>
                    </c:extLst>
                    <c:strCache>
                      <c:ptCount val="10"/>
                      <c:pt idx="0">
                        <c:v>Mortgage or Rent</c:v>
                      </c:pt>
                      <c:pt idx="1">
                        <c:v>Phone</c:v>
                      </c:pt>
                      <c:pt idx="2">
                        <c:v>Electricity</c:v>
                      </c:pt>
                      <c:pt idx="3">
                        <c:v>Gas</c:v>
                      </c:pt>
                      <c:pt idx="4">
                        <c:v>Other Maintanence</c:v>
                      </c:pt>
                      <c:pt idx="5">
                        <c:v>Groceries</c:v>
                      </c:pt>
                      <c:pt idx="6">
                        <c:v>Dining Out</c:v>
                      </c:pt>
                      <c:pt idx="7">
                        <c:v>Fuel Expenses</c:v>
                      </c:pt>
                      <c:pt idx="8">
                        <c:v>Bus/Train/Taxi/Flight</c:v>
                      </c:pt>
                      <c:pt idx="9">
                        <c:v>Vehicle Maintenance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Sheet1!$O$16:$O$28</c15:sqref>
                        </c15:fullRef>
                        <c15:formulaRef>
                          <c15:sqref>(Sheet1!$O$17:$O$21,Sheet1!$O$23:$O$24,Sheet1!$O$26:$O$28)</c15:sqref>
                        </c15:formulaRef>
                      </c:ext>
                    </c:extLst>
                    <c:numCache>
                      <c:formatCode>General</c:formatCode>
                      <c:ptCount val="10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C-3FF4-4C30-8059-510E39339AB0}"/>
                  </c:ext>
                </c:extLst>
              </c15:ser>
            </c15:filteredLineSeries>
          </c:ext>
        </c:extLst>
      </c:lineChart>
      <c:catAx>
        <c:axId val="57968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96560"/>
        <c:crosses val="autoZero"/>
        <c:auto val="1"/>
        <c:lblAlgn val="ctr"/>
        <c:lblOffset val="100"/>
        <c:noMultiLvlLbl val="0"/>
      </c:catAx>
      <c:valAx>
        <c:axId val="5799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68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Sheet1!$B$6</c:f>
              <c:strCache>
                <c:ptCount val="1"/>
                <c:pt idx="0">
                  <c:v>Jan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Sheet1!$A$7:$A$10</c:f>
              <c:strCache>
                <c:ptCount val="4"/>
                <c:pt idx="0">
                  <c:v>Salary</c:v>
                </c:pt>
                <c:pt idx="1">
                  <c:v>Rent</c:v>
                </c:pt>
                <c:pt idx="2">
                  <c:v>Dividend, Stock Gain</c:v>
                </c:pt>
                <c:pt idx="3">
                  <c:v>Freelancing</c:v>
                </c:pt>
              </c:strCache>
            </c:strRef>
          </c:cat>
          <c:val>
            <c:numRef>
              <c:f>Sheet1!$B$7:$B$10</c:f>
              <c:numCache>
                <c:formatCode>_ [$₹-4009]\ * #,##0_ ;_ [$₹-4009]\ * \-#,##0_ ;_ [$₹-4009]\ * "-"??_ ;_ @_ </c:formatCode>
                <c:ptCount val="4"/>
                <c:pt idx="0">
                  <c:v>60000</c:v>
                </c:pt>
                <c:pt idx="1">
                  <c:v>14000</c:v>
                </c:pt>
                <c:pt idx="2">
                  <c:v>2000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CD-4208-9ADE-D8DB05242884}"/>
            </c:ext>
          </c:extLst>
        </c:ser>
        <c:ser>
          <c:idx val="1"/>
          <c:order val="1"/>
          <c:tx>
            <c:strRef>
              <c:f>Sheet1!$C$6</c:f>
              <c:strCache>
                <c:ptCount val="1"/>
                <c:pt idx="0">
                  <c:v>Feb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Sheet1!$A$7:$A$10</c:f>
              <c:strCache>
                <c:ptCount val="4"/>
                <c:pt idx="0">
                  <c:v>Salary</c:v>
                </c:pt>
                <c:pt idx="1">
                  <c:v>Rent</c:v>
                </c:pt>
                <c:pt idx="2">
                  <c:v>Dividend, Stock Gain</c:v>
                </c:pt>
                <c:pt idx="3">
                  <c:v>Freelancing</c:v>
                </c:pt>
              </c:strCache>
            </c:strRef>
          </c:cat>
          <c:val>
            <c:numRef>
              <c:f>Sheet1!$C$7:$C$10</c:f>
              <c:numCache>
                <c:formatCode>_ [$₹-4009]\ * #,##0_ ;_ [$₹-4009]\ * \-#,##0_ ;_ [$₹-4009]\ * "-"??_ ;_ @_ </c:formatCode>
                <c:ptCount val="4"/>
                <c:pt idx="0">
                  <c:v>60000</c:v>
                </c:pt>
                <c:pt idx="1">
                  <c:v>14000</c:v>
                </c:pt>
                <c:pt idx="2">
                  <c:v>600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CD-4208-9ADE-D8DB05242884}"/>
            </c:ext>
          </c:extLst>
        </c:ser>
        <c:ser>
          <c:idx val="2"/>
          <c:order val="2"/>
          <c:tx>
            <c:strRef>
              <c:f>Sheet1!$D$6</c:f>
              <c:strCache>
                <c:ptCount val="1"/>
                <c:pt idx="0">
                  <c:v>Mar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Sheet1!$A$7:$A$10</c:f>
              <c:strCache>
                <c:ptCount val="4"/>
                <c:pt idx="0">
                  <c:v>Salary</c:v>
                </c:pt>
                <c:pt idx="1">
                  <c:v>Rent</c:v>
                </c:pt>
                <c:pt idx="2">
                  <c:v>Dividend, Stock Gain</c:v>
                </c:pt>
                <c:pt idx="3">
                  <c:v>Freelancing</c:v>
                </c:pt>
              </c:strCache>
            </c:strRef>
          </c:cat>
          <c:val>
            <c:numRef>
              <c:f>Sheet1!$D$7:$D$10</c:f>
              <c:numCache>
                <c:formatCode>_ [$₹-4009]\ * #,##0_ ;_ [$₹-4009]\ * \-#,##0_ ;_ [$₹-4009]\ * "-"??_ ;_ @_ </c:formatCode>
                <c:ptCount val="4"/>
                <c:pt idx="0">
                  <c:v>60000</c:v>
                </c:pt>
                <c:pt idx="1">
                  <c:v>0</c:v>
                </c:pt>
                <c:pt idx="2">
                  <c:v>1400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CD-4208-9ADE-D8DB05242884}"/>
            </c:ext>
          </c:extLst>
        </c:ser>
        <c:ser>
          <c:idx val="3"/>
          <c:order val="3"/>
          <c:tx>
            <c:strRef>
              <c:f>Sheet1!$E$6</c:f>
              <c:strCache>
                <c:ptCount val="1"/>
                <c:pt idx="0">
                  <c:v>Apr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Sheet1!$A$7:$A$10</c:f>
              <c:strCache>
                <c:ptCount val="4"/>
                <c:pt idx="0">
                  <c:v>Salary</c:v>
                </c:pt>
                <c:pt idx="1">
                  <c:v>Rent</c:v>
                </c:pt>
                <c:pt idx="2">
                  <c:v>Dividend, Stock Gain</c:v>
                </c:pt>
                <c:pt idx="3">
                  <c:v>Freelancing</c:v>
                </c:pt>
              </c:strCache>
            </c:strRef>
          </c:cat>
          <c:val>
            <c:numRef>
              <c:f>Sheet1!$E$7:$E$10</c:f>
              <c:numCache>
                <c:formatCode>_ [$₹-4009]\ * #,##0_ ;_ [$₹-4009]\ * \-#,##0_ ;_ [$₹-4009]\ * "-"??_ ;_ @_ </c:formatCode>
                <c:ptCount val="4"/>
                <c:pt idx="0">
                  <c:v>75000</c:v>
                </c:pt>
                <c:pt idx="1">
                  <c:v>15000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CD-4208-9ADE-D8DB052428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2908368"/>
        <c:axId val="502900688"/>
        <c:extLst>
          <c:ext xmlns:c15="http://schemas.microsoft.com/office/drawing/2012/chart" uri="{02D57815-91ED-43cb-92C2-25804820EDAC}"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Sheet1!$F$6</c15:sqref>
                        </c15:formulaRef>
                      </c:ext>
                    </c:extLst>
                    <c:strCache>
                      <c:ptCount val="1"/>
                      <c:pt idx="0">
                        <c:v>May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5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5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Sheet1!$A$7:$A$10</c15:sqref>
                        </c15:formulaRef>
                      </c:ext>
                    </c:extLst>
                    <c:strCache>
                      <c:ptCount val="4"/>
                      <c:pt idx="0">
                        <c:v>Salary</c:v>
                      </c:pt>
                      <c:pt idx="1">
                        <c:v>Rent</c:v>
                      </c:pt>
                      <c:pt idx="2">
                        <c:v>Dividend, Stock Gain</c:v>
                      </c:pt>
                      <c:pt idx="3">
                        <c:v>Freelancing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Sheet1!$F$7:$F$10</c15:sqref>
                        </c15:formulaRef>
                      </c:ext>
                    </c:extLst>
                    <c:numCache>
                      <c:formatCode>_ [$₹-4009]\ * #,##0_ ;_ [$₹-4009]\ * \-#,##0_ ;_ [$₹-4009]\ * "-"??_ ;_ @_ 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64CD-4208-9ADE-D8DB05242884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Sheet1!$G$6</c15:sqref>
                        </c15:formulaRef>
                      </c:ext>
                    </c:extLst>
                    <c:strCache>
                      <c:ptCount val="1"/>
                      <c:pt idx="0">
                        <c:v>Jun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6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6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Sheet1!$A$7:$A$10</c15:sqref>
                        </c15:formulaRef>
                      </c:ext>
                    </c:extLst>
                    <c:strCache>
                      <c:ptCount val="4"/>
                      <c:pt idx="0">
                        <c:v>Salary</c:v>
                      </c:pt>
                      <c:pt idx="1">
                        <c:v>Rent</c:v>
                      </c:pt>
                      <c:pt idx="2">
                        <c:v>Dividend, Stock Gain</c:v>
                      </c:pt>
                      <c:pt idx="3">
                        <c:v>Freelancing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Sheet1!$G$7:$G$10</c15:sqref>
                        </c15:formulaRef>
                      </c:ext>
                    </c:extLst>
                    <c:numCache>
                      <c:formatCode>_ [$₹-4009]\ * #,##0_ ;_ [$₹-4009]\ * \-#,##0_ ;_ [$₹-4009]\ * "-"??_ ;_ @_ </c:formatCode>
                      <c:ptCount val="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4CD-4208-9ADE-D8DB05242884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Sheet1!$H$6</c15:sqref>
                        </c15:formulaRef>
                      </c:ext>
                    </c:extLst>
                    <c:strCache>
                      <c:ptCount val="1"/>
                      <c:pt idx="0">
                        <c:v>Jul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Sheet1!$A$7:$A$10</c15:sqref>
                        </c15:formulaRef>
                      </c:ext>
                    </c:extLst>
                    <c:strCache>
                      <c:ptCount val="4"/>
                      <c:pt idx="0">
                        <c:v>Salary</c:v>
                      </c:pt>
                      <c:pt idx="1">
                        <c:v>Rent</c:v>
                      </c:pt>
                      <c:pt idx="2">
                        <c:v>Dividend, Stock Gain</c:v>
                      </c:pt>
                      <c:pt idx="3">
                        <c:v>Freelancing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Sheet1!$H$7:$H$10</c15:sqref>
                        </c15:formulaRef>
                      </c:ext>
                    </c:extLst>
                    <c:numCache>
                      <c:formatCode>_ [$₹-4009]\ * #,##0_ ;_ [$₹-4009]\ * \-#,##0_ ;_ [$₹-4009]\ * "-"??_ ;_ @_ </c:formatCode>
                      <c:ptCount val="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4CD-4208-9ADE-D8DB05242884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Sheet1!$I$6</c15:sqref>
                        </c15:formulaRef>
                      </c:ext>
                    </c:extLst>
                    <c:strCache>
                      <c:ptCount val="1"/>
                      <c:pt idx="0">
                        <c:v>Aug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Sheet1!$A$7:$A$10</c15:sqref>
                        </c15:formulaRef>
                      </c:ext>
                    </c:extLst>
                    <c:strCache>
                      <c:ptCount val="4"/>
                      <c:pt idx="0">
                        <c:v>Salary</c:v>
                      </c:pt>
                      <c:pt idx="1">
                        <c:v>Rent</c:v>
                      </c:pt>
                      <c:pt idx="2">
                        <c:v>Dividend, Stock Gain</c:v>
                      </c:pt>
                      <c:pt idx="3">
                        <c:v>Freelancing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Sheet1!$I$7:$I$10</c15:sqref>
                        </c15:formulaRef>
                      </c:ext>
                    </c:extLst>
                    <c:numCache>
                      <c:formatCode>_ [$₹-4009]\ * #,##0_ ;_ [$₹-4009]\ * \-#,##0_ ;_ [$₹-4009]\ * "-"??_ ;_ @_ </c:formatCode>
                      <c:ptCount val="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4CD-4208-9ADE-D8DB05242884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Sheet1!$J$6</c15:sqref>
                        </c15:formulaRef>
                      </c:ext>
                    </c:extLst>
                    <c:strCache>
                      <c:ptCount val="1"/>
                      <c:pt idx="0">
                        <c:v>Sep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Sheet1!$A$7:$A$10</c15:sqref>
                        </c15:formulaRef>
                      </c:ext>
                    </c:extLst>
                    <c:strCache>
                      <c:ptCount val="4"/>
                      <c:pt idx="0">
                        <c:v>Salary</c:v>
                      </c:pt>
                      <c:pt idx="1">
                        <c:v>Rent</c:v>
                      </c:pt>
                      <c:pt idx="2">
                        <c:v>Dividend, Stock Gain</c:v>
                      </c:pt>
                      <c:pt idx="3">
                        <c:v>Freelancing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Sheet1!$J$7:$J$10</c15:sqref>
                        </c15:formulaRef>
                      </c:ext>
                    </c:extLst>
                    <c:numCache>
                      <c:formatCode>_ [$₹-4009]\ * #,##0_ ;_ [$₹-4009]\ * \-#,##0_ ;_ [$₹-4009]\ * "-"??_ ;_ @_ </c:formatCode>
                      <c:ptCount val="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64CD-4208-9ADE-D8DB05242884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Sheet1!$K$6</c15:sqref>
                        </c15:formulaRef>
                      </c:ext>
                    </c:extLst>
                    <c:strCache>
                      <c:ptCount val="1"/>
                      <c:pt idx="0">
                        <c:v>Oct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Sheet1!$A$7:$A$10</c15:sqref>
                        </c15:formulaRef>
                      </c:ext>
                    </c:extLst>
                    <c:strCache>
                      <c:ptCount val="4"/>
                      <c:pt idx="0">
                        <c:v>Salary</c:v>
                      </c:pt>
                      <c:pt idx="1">
                        <c:v>Rent</c:v>
                      </c:pt>
                      <c:pt idx="2">
                        <c:v>Dividend, Stock Gain</c:v>
                      </c:pt>
                      <c:pt idx="3">
                        <c:v>Freelancing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Sheet1!$K$7:$K$10</c15:sqref>
                        </c15:formulaRef>
                      </c:ext>
                    </c:extLst>
                    <c:numCache>
                      <c:formatCode>_ [$₹-4009]\ * #,##0_ ;_ [$₹-4009]\ * \-#,##0_ ;_ [$₹-4009]\ * "-"??_ ;_ @_ </c:formatCode>
                      <c:ptCount val="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64CD-4208-9ADE-D8DB05242884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Sheet1!$L$6</c15:sqref>
                        </c15:formulaRef>
                      </c:ext>
                    </c:extLst>
                    <c:strCache>
                      <c:ptCount val="1"/>
                      <c:pt idx="0">
                        <c:v>Nov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5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5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Sheet1!$A$7:$A$10</c15:sqref>
                        </c15:formulaRef>
                      </c:ext>
                    </c:extLst>
                    <c:strCache>
                      <c:ptCount val="4"/>
                      <c:pt idx="0">
                        <c:v>Salary</c:v>
                      </c:pt>
                      <c:pt idx="1">
                        <c:v>Rent</c:v>
                      </c:pt>
                      <c:pt idx="2">
                        <c:v>Dividend, Stock Gain</c:v>
                      </c:pt>
                      <c:pt idx="3">
                        <c:v>Freelancing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Sheet1!$L$7:$L$10</c15:sqref>
                        </c15:formulaRef>
                      </c:ext>
                    </c:extLst>
                    <c:numCache>
                      <c:formatCode>_ [$₹-4009]\ * #,##0_ ;_ [$₹-4009]\ * \-#,##0_ ;_ [$₹-4009]\ * "-"??_ ;_ @_ </c:formatCode>
                      <c:ptCount val="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64CD-4208-9ADE-D8DB05242884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Sheet1!$M$6</c15:sqref>
                        </c15:formulaRef>
                      </c:ext>
                    </c:extLst>
                    <c:strCache>
                      <c:ptCount val="1"/>
                      <c:pt idx="0">
                        <c:v>Dec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6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6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Sheet1!$A$7:$A$10</c15:sqref>
                        </c15:formulaRef>
                      </c:ext>
                    </c:extLst>
                    <c:strCache>
                      <c:ptCount val="4"/>
                      <c:pt idx="0">
                        <c:v>Salary</c:v>
                      </c:pt>
                      <c:pt idx="1">
                        <c:v>Rent</c:v>
                      </c:pt>
                      <c:pt idx="2">
                        <c:v>Dividend, Stock Gain</c:v>
                      </c:pt>
                      <c:pt idx="3">
                        <c:v>Freelancing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Sheet1!$M$7:$M$10</c15:sqref>
                        </c15:formulaRef>
                      </c:ext>
                    </c:extLst>
                    <c:numCache>
                      <c:formatCode>_ [$₹-4009]\ * #,##0_ ;_ [$₹-4009]\ * \-#,##0_ ;_ [$₹-4009]\ * "-"??_ ;_ @_ </c:formatCode>
                      <c:ptCount val="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64CD-4208-9ADE-D8DB05242884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2"/>
          <c:order val="12"/>
          <c:tx>
            <c:strRef>
              <c:f>Sheet1!$N$6</c:f>
              <c:strCache>
                <c:ptCount val="1"/>
                <c:pt idx="0">
                  <c:v>YTD</c:v>
                </c:pt>
              </c:strCache>
            </c:strRef>
          </c:tx>
          <c:spPr>
            <a:ln w="3492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Sheet1!$A$7:$A$10</c:f>
              <c:strCache>
                <c:ptCount val="4"/>
                <c:pt idx="0">
                  <c:v>Salary</c:v>
                </c:pt>
                <c:pt idx="1">
                  <c:v>Rent</c:v>
                </c:pt>
                <c:pt idx="2">
                  <c:v>Dividend, Stock Gain</c:v>
                </c:pt>
                <c:pt idx="3">
                  <c:v>Freelancing</c:v>
                </c:pt>
              </c:strCache>
            </c:strRef>
          </c:cat>
          <c:val>
            <c:numRef>
              <c:f>Sheet1!$N$7:$N$10</c:f>
              <c:numCache>
                <c:formatCode>_ [$₹-4009]\ * #,##0_ ;_ [$₹-4009]\ * \-#,##0_ ;_ [$₹-4009]\ * "-"??_ ;_ @_ </c:formatCode>
                <c:ptCount val="4"/>
                <c:pt idx="0">
                  <c:v>255000</c:v>
                </c:pt>
                <c:pt idx="1">
                  <c:v>43000</c:v>
                </c:pt>
                <c:pt idx="2">
                  <c:v>4000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4CD-4208-9ADE-D8DB052428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2908368"/>
        <c:axId val="502900688"/>
      </c:lineChart>
      <c:catAx>
        <c:axId val="50290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900688"/>
        <c:crosses val="autoZero"/>
        <c:auto val="1"/>
        <c:lblAlgn val="ctr"/>
        <c:lblOffset val="100"/>
        <c:noMultiLvlLbl val="0"/>
      </c:catAx>
      <c:valAx>
        <c:axId val="50290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 [$₹-4009]\ * #,##0_ ;_ [$₹-4009]\ * \-#,##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90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516082</xdr:colOff>
      <xdr:row>18</xdr:row>
      <xdr:rowOff>176644</xdr:rowOff>
    </xdr:from>
    <xdr:to>
      <xdr:col>22</xdr:col>
      <xdr:colOff>211282</xdr:colOff>
      <xdr:row>33</xdr:row>
      <xdr:rowOff>162790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8B8F8D-A18A-B2B7-2001-B4BED2006A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183573</xdr:colOff>
      <xdr:row>2</xdr:row>
      <xdr:rowOff>155864</xdr:rowOff>
    </xdr:from>
    <xdr:to>
      <xdr:col>21</xdr:col>
      <xdr:colOff>533400</xdr:colOff>
      <xdr:row>16</xdr:row>
      <xdr:rowOff>103909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BB7C03C-CCD1-65E5-A8DE-8BFA4D5AE8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60DCFF-CB65-4911-B7C3-9453CC2F47D8}" name="Income" displayName="Income" ref="A6:N11" totalsRowCount="1" headerRowDxfId="64" dataDxfId="63" totalsRowBorderDxfId="62">
  <autoFilter ref="A6:N10" xr:uid="{B160DCFF-CB65-4911-B7C3-9453CC2F47D8}"/>
  <tableColumns count="14">
    <tableColumn id="1" xr3:uid="{CB5550B3-C211-4859-B702-DE59E0ADD0CE}" name="Items" totalsRowLabel="Total Income" dataDxfId="41" totalsRowDxfId="27"/>
    <tableColumn id="2" xr3:uid="{99793371-668D-4F98-8E9D-C7AAA1340304}" name="Jan" totalsRowFunction="custom" dataDxfId="40" totalsRowDxfId="26">
      <totalsRowFormula>IF(SUM(Income[Jan])=0,"",SUM(Income[Jan]))</totalsRowFormula>
    </tableColumn>
    <tableColumn id="3" xr3:uid="{AEFD1602-78C3-4377-983A-FEE5BD92F744}" name="Feb" totalsRowFunction="custom" dataDxfId="39" totalsRowDxfId="25">
      <totalsRowFormula>IF(SUM(Income[Feb])=0,"",SUM(Income[Feb]))</totalsRowFormula>
    </tableColumn>
    <tableColumn id="4" xr3:uid="{527EB208-9443-47FF-8C94-EF4CA4865097}" name="Mar" totalsRowFunction="custom" dataDxfId="38" totalsRowDxfId="24">
      <totalsRowFormula>IF(SUM(Income[Mar])=0,"",SUM(Income[Mar]))</totalsRowFormula>
    </tableColumn>
    <tableColumn id="5" xr3:uid="{3C38341A-9E70-43E2-99EE-1638B4CC50F4}" name="Apr" totalsRowFunction="custom" dataDxfId="37" totalsRowDxfId="23">
      <totalsRowFormula>IF(SUM(Income[Apr])=0,"",SUM(Income[Apr]))</totalsRowFormula>
    </tableColumn>
    <tableColumn id="6" xr3:uid="{6521E6D1-9073-4A02-B820-BDCBB94EA1CF}" name="May" totalsRowFunction="custom" dataDxfId="36" totalsRowDxfId="22">
      <totalsRowFormula>IF(SUM(Income[May])=0,"",SUM(Income[May]))</totalsRowFormula>
    </tableColumn>
    <tableColumn id="7" xr3:uid="{BF0B946F-A114-4719-B019-1D2DF0F37738}" name="Jun" totalsRowFunction="custom" dataDxfId="35" totalsRowDxfId="21">
      <totalsRowFormula>IF(SUM(Income[Jun])=0,"",SUM(Income[Jun]))</totalsRowFormula>
    </tableColumn>
    <tableColumn id="8" xr3:uid="{4E53E29C-D5EB-423F-90A7-8423DE354DB2}" name="Jul" totalsRowFunction="custom" dataDxfId="34" totalsRowDxfId="20">
      <totalsRowFormula>IF(SUM(Income[Jul])=0,"",SUM(Income[Jul]))</totalsRowFormula>
    </tableColumn>
    <tableColumn id="9" xr3:uid="{33E6C52C-93DE-4589-B775-389F1EDF5F4F}" name="Aug" totalsRowFunction="custom" dataDxfId="33" totalsRowDxfId="19">
      <totalsRowFormula>IF(SUM(Income[Aug])=0,"",SUM(Income[Aug]))</totalsRowFormula>
    </tableColumn>
    <tableColumn id="10" xr3:uid="{02082E0A-B0EE-4F54-90C9-E2767870714C}" name="Sep" totalsRowFunction="custom" dataDxfId="32" totalsRowDxfId="18">
      <totalsRowFormula>IF(SUM(Income[Sep])=0,"",SUM(Income[Sep]))</totalsRowFormula>
    </tableColumn>
    <tableColumn id="11" xr3:uid="{3E37146B-7E71-4AF3-8FB5-4C467FC205EC}" name="Oct" totalsRowFunction="custom" dataDxfId="31" totalsRowDxfId="17">
      <totalsRowFormula>IF(SUM(Income[Oct])=0,"",SUM(Income[Oct]))</totalsRowFormula>
    </tableColumn>
    <tableColumn id="12" xr3:uid="{618DC86C-3A4A-4651-B9CD-6B1496BDF295}" name="Nov" totalsRowFunction="custom" dataDxfId="30" totalsRowDxfId="16">
      <totalsRowFormula>IF(SUM(Income[Nov])=0,"",SUM(Income[Nov]))</totalsRowFormula>
    </tableColumn>
    <tableColumn id="13" xr3:uid="{69F258D3-C3C1-4BCB-A97C-2AD43F808E7A}" name="Dec" totalsRowFunction="custom" dataDxfId="29" totalsRowDxfId="15">
      <totalsRowFormula>IF(SUM(Income[Dec])=0,"",SUM(Income[Dec]))</totalsRowFormula>
    </tableColumn>
    <tableColumn id="14" xr3:uid="{EE8F4661-B200-43D4-9FF6-57F0006C64BC}" name="YTD" totalsRowFunction="sum" dataDxfId="28" totalsRowDxfId="14">
      <calculatedColumnFormula>SUM($B7:$M7)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C270552-7818-46F7-BFD5-1096EC5B6240}" name="Expenses" displayName="Expenses" ref="A15:N29" totalsRowCount="1" headerRowDxfId="61" dataDxfId="59" headerRowBorderDxfId="60" tableBorderDxfId="58" totalsRowBorderDxfId="57">
  <autoFilter ref="A15:N28" xr:uid="{6C270552-7818-46F7-BFD5-1096EC5B6240}"/>
  <tableColumns count="14">
    <tableColumn id="1" xr3:uid="{631EDA9B-D1B8-4213-BA53-BA3464879561}" name="Items" totalsRowLabel="Total Expenses" dataDxfId="56" totalsRowDxfId="13"/>
    <tableColumn id="2" xr3:uid="{68CF0289-C8A5-432B-8D68-1C645C5C1E09}" name="Jan" totalsRowFunction="custom" dataDxfId="55" totalsRowDxfId="12" dataCellStyle="Currency">
      <totalsRowFormula>IF(SUM(Expenses[Jan])=0,"",SUM(Expenses[Jan]))</totalsRowFormula>
    </tableColumn>
    <tableColumn id="3" xr3:uid="{0A04D00A-018E-4C92-B523-0B13E65B9EA0}" name="Feb" totalsRowFunction="custom" dataDxfId="54" totalsRowDxfId="11" dataCellStyle="Currency">
      <totalsRowFormula>IF(SUM(Expenses[Feb])=0,"",SUM(Expenses[Feb]))</totalsRowFormula>
    </tableColumn>
    <tableColumn id="4" xr3:uid="{9C3C8595-644B-48D1-B21E-F30587E37395}" name="Mar" totalsRowFunction="custom" dataDxfId="53" totalsRowDxfId="10" dataCellStyle="Currency">
      <totalsRowFormula>IF(SUM(Expenses[Mar])=0,"",SUM(Expenses[Mar]))</totalsRowFormula>
    </tableColumn>
    <tableColumn id="5" xr3:uid="{87EC069E-28EE-4FD0-8BA8-2029EBD8F903}" name="Apr" totalsRowFunction="custom" dataDxfId="52" totalsRowDxfId="9" dataCellStyle="Currency">
      <totalsRowFormula>IF(SUM(Expenses[Apr])=0,"",SUM(Expenses[Apr]))</totalsRowFormula>
    </tableColumn>
    <tableColumn id="6" xr3:uid="{33E1F7A5-D318-4DAC-9B77-31C0C860834E}" name="May" totalsRowFunction="custom" dataDxfId="51" totalsRowDxfId="8" dataCellStyle="Currency">
      <totalsRowFormula>IF(SUM(Expenses[May])=0,"",SUM(Expenses[May]))</totalsRowFormula>
    </tableColumn>
    <tableColumn id="7" xr3:uid="{C2B6A5D7-9EC1-473F-9FEA-2E2141F15675}" name="Jun" totalsRowFunction="custom" dataDxfId="50" totalsRowDxfId="7" dataCellStyle="Currency">
      <totalsRowFormula>IF(SUM(Expenses[Jun])=0,"",SUM(Expenses[Jun]))</totalsRowFormula>
    </tableColumn>
    <tableColumn id="8" xr3:uid="{00DB5EC3-90FD-4965-AA48-75E518EC8CAA}" name="Jul" totalsRowFunction="custom" dataDxfId="49" totalsRowDxfId="6" dataCellStyle="Currency">
      <totalsRowFormula>IF(SUM(Expenses[Jul])=0,"",SUM(Expenses[Jul]))</totalsRowFormula>
    </tableColumn>
    <tableColumn id="9" xr3:uid="{EF9B577A-E7B7-4721-813E-845D6C35AFDB}" name="Aug" totalsRowFunction="custom" dataDxfId="48" totalsRowDxfId="5" dataCellStyle="Currency">
      <totalsRowFormula>IF(SUM(Expenses[Aug])=0,"",SUM(Expenses[Aug]))</totalsRowFormula>
    </tableColumn>
    <tableColumn id="10" xr3:uid="{0F1CF023-0220-4775-A1AF-6D3029582376}" name="Sep" totalsRowFunction="custom" dataDxfId="47" totalsRowDxfId="4" dataCellStyle="Currency">
      <totalsRowFormula>IF(SUM(Expenses[Sep])=0,"",SUM(Expenses[Sep]))</totalsRowFormula>
    </tableColumn>
    <tableColumn id="11" xr3:uid="{2DABEEAE-F53E-4ED6-AF47-53780CD6D705}" name="Oct" totalsRowFunction="custom" dataDxfId="46" totalsRowDxfId="3" dataCellStyle="Currency">
      <totalsRowFormula>IF(SUM(Expenses[Oct])=0,"",SUM(Expenses[Oct]))</totalsRowFormula>
    </tableColumn>
    <tableColumn id="12" xr3:uid="{D7611440-70C7-4696-B44C-E309BE5B5CF1}" name="Nov" totalsRowFunction="custom" dataDxfId="45" totalsRowDxfId="2" dataCellStyle="Currency">
      <totalsRowFormula>IF(SUM(Expenses[Nov])=0,"",SUM(Expenses[Nov]))</totalsRowFormula>
    </tableColumn>
    <tableColumn id="13" xr3:uid="{C7DC2F2A-7FD3-465A-A2BE-5CB806854DE5}" name="Dec" totalsRowFunction="custom" dataDxfId="44" totalsRowDxfId="1" dataCellStyle="Currency">
      <totalsRowFormula>IF(SUM(Expenses[Dec])=0,"",SUM(Expenses[Dec]))</totalsRowFormula>
    </tableColumn>
    <tableColumn id="14" xr3:uid="{880D1230-0AC6-4E0F-A744-7C47AABBC89E}" name="YTD" totalsRowFunction="sum" dataDxfId="43" totalsRowDxfId="0" dataCellStyle="Currency">
      <calculatedColumnFormula>SUM(Expenses[[#This Row],[Jan]:[Dec]])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508DF-33CC-4CF2-A85D-E8DBF5C4BA80}">
  <sheetPr>
    <pageSetUpPr fitToPage="1"/>
  </sheetPr>
  <dimension ref="A1:N31"/>
  <sheetViews>
    <sheetView tabSelected="1" topLeftCell="A7" zoomScale="110" zoomScaleNormal="110" workbookViewId="0">
      <selection activeCell="B11" sqref="B11"/>
    </sheetView>
  </sheetViews>
  <sheetFormatPr defaultRowHeight="14.4" x14ac:dyDescent="0.3"/>
  <cols>
    <col min="1" max="1" width="24.44140625" style="2" customWidth="1"/>
    <col min="2" max="13" width="10.77734375" style="2" customWidth="1"/>
    <col min="14" max="14" width="12.21875" style="2" customWidth="1"/>
    <col min="15" max="16384" width="8.88671875" style="2"/>
  </cols>
  <sheetData>
    <row r="1" spans="1:14" x14ac:dyDescent="0.3">
      <c r="A1" s="18" t="s">
        <v>13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4" x14ac:dyDescent="0.3">
      <c r="A3" s="3" t="s">
        <v>14</v>
      </c>
      <c r="B3" s="3">
        <v>40000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4" ht="15" thickBo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4" ht="15" thickBot="1" x14ac:dyDescent="0.35">
      <c r="A5" s="19" t="s">
        <v>22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1"/>
    </row>
    <row r="6" spans="1:14" s="1" customFormat="1" x14ac:dyDescent="0.3">
      <c r="A6" s="5" t="s">
        <v>0</v>
      </c>
      <c r="B6" s="5" t="s">
        <v>1</v>
      </c>
      <c r="C6" s="5" t="s">
        <v>2</v>
      </c>
      <c r="D6" s="5" t="s">
        <v>3</v>
      </c>
      <c r="E6" s="5" t="s">
        <v>4</v>
      </c>
      <c r="F6" s="5" t="s">
        <v>5</v>
      </c>
      <c r="G6" s="5" t="s">
        <v>6</v>
      </c>
      <c r="H6" s="5" t="s">
        <v>7</v>
      </c>
      <c r="I6" s="5" t="s">
        <v>8</v>
      </c>
      <c r="J6" s="5" t="s">
        <v>9</v>
      </c>
      <c r="K6" s="5" t="s">
        <v>10</v>
      </c>
      <c r="L6" s="5" t="s">
        <v>11</v>
      </c>
      <c r="M6" s="5" t="s">
        <v>12</v>
      </c>
      <c r="N6" s="5" t="s">
        <v>19</v>
      </c>
    </row>
    <row r="7" spans="1:14" x14ac:dyDescent="0.3">
      <c r="A7" s="2" t="s">
        <v>15</v>
      </c>
      <c r="B7" s="16">
        <v>60000</v>
      </c>
      <c r="C7" s="17">
        <v>60000</v>
      </c>
      <c r="D7" s="17">
        <v>60000</v>
      </c>
      <c r="E7" s="17">
        <v>75000</v>
      </c>
      <c r="F7" s="17"/>
      <c r="G7" s="17"/>
      <c r="H7" s="17"/>
      <c r="I7" s="17"/>
      <c r="J7" s="17"/>
      <c r="K7" s="17"/>
      <c r="L7" s="17"/>
      <c r="M7" s="17"/>
      <c r="N7" s="17">
        <f t="shared" ref="N7:N10" si="0">SUM($B7:$M7)</f>
        <v>255000</v>
      </c>
    </row>
    <row r="8" spans="1:14" x14ac:dyDescent="0.3">
      <c r="A8" s="2" t="s">
        <v>16</v>
      </c>
      <c r="B8" s="17">
        <v>14000</v>
      </c>
      <c r="C8" s="17">
        <v>14000</v>
      </c>
      <c r="D8" s="17">
        <v>0</v>
      </c>
      <c r="E8" s="17">
        <v>15000</v>
      </c>
      <c r="F8" s="17"/>
      <c r="G8" s="17"/>
      <c r="H8" s="17"/>
      <c r="I8" s="17"/>
      <c r="J8" s="17"/>
      <c r="K8" s="17"/>
      <c r="L8" s="17"/>
      <c r="M8" s="17"/>
      <c r="N8" s="17">
        <f t="shared" si="0"/>
        <v>43000</v>
      </c>
    </row>
    <row r="9" spans="1:14" x14ac:dyDescent="0.3">
      <c r="A9" s="2" t="s">
        <v>17</v>
      </c>
      <c r="B9" s="17">
        <v>2000</v>
      </c>
      <c r="C9" s="17">
        <v>600</v>
      </c>
      <c r="D9" s="17">
        <v>1400</v>
      </c>
      <c r="E9" s="17">
        <v>0</v>
      </c>
      <c r="F9" s="17"/>
      <c r="G9" s="17"/>
      <c r="H9" s="17"/>
      <c r="I9" s="17"/>
      <c r="J9" s="17"/>
      <c r="K9" s="17"/>
      <c r="L9" s="17"/>
      <c r="M9" s="17"/>
      <c r="N9" s="17">
        <f t="shared" si="0"/>
        <v>4000</v>
      </c>
    </row>
    <row r="10" spans="1:14" ht="15" thickBot="1" x14ac:dyDescent="0.35">
      <c r="A10" s="2" t="s">
        <v>18</v>
      </c>
      <c r="B10" s="17">
        <v>0</v>
      </c>
      <c r="C10" s="17">
        <v>0</v>
      </c>
      <c r="D10" s="17">
        <v>0</v>
      </c>
      <c r="E10" s="17">
        <v>0</v>
      </c>
      <c r="F10" s="17"/>
      <c r="G10" s="17"/>
      <c r="H10" s="17"/>
      <c r="I10" s="17"/>
      <c r="J10" s="17"/>
      <c r="K10" s="17"/>
      <c r="L10" s="17"/>
      <c r="M10" s="17"/>
      <c r="N10" s="17">
        <f t="shared" si="0"/>
        <v>0</v>
      </c>
    </row>
    <row r="11" spans="1:14" s="4" customFormat="1" ht="15" thickBot="1" x14ac:dyDescent="0.35">
      <c r="A11" s="11" t="s">
        <v>20</v>
      </c>
      <c r="B11" s="17">
        <f>IF(SUM(Income[Jan])=0,"",SUM(Income[Jan]))</f>
        <v>76000</v>
      </c>
      <c r="C11" s="17">
        <f>IF(SUM(Income[Feb])=0,"",SUM(Income[Feb]))</f>
        <v>74600</v>
      </c>
      <c r="D11" s="17">
        <f>IF(SUM(Income[Mar])=0,"",SUM(Income[Mar]))</f>
        <v>61400</v>
      </c>
      <c r="E11" s="17">
        <f>IF(SUM(Income[Apr])=0,"",SUM(Income[Apr]))</f>
        <v>90000</v>
      </c>
      <c r="F11" s="17" t="str">
        <f>IF(SUM(Income[May])=0,"",SUM(Income[May]))</f>
        <v/>
      </c>
      <c r="G11" s="17" t="str">
        <f>IF(SUM(Income[Jun])=0,"",SUM(Income[Jun]))</f>
        <v/>
      </c>
      <c r="H11" s="17" t="str">
        <f>IF(SUM(Income[Jul])=0,"",SUM(Income[Jul]))</f>
        <v/>
      </c>
      <c r="I11" s="17" t="str">
        <f>IF(SUM(Income[Aug])=0,"",SUM(Income[Aug]))</f>
        <v/>
      </c>
      <c r="J11" s="17" t="str">
        <f>IF(SUM(Income[Sep])=0,"",SUM(Income[Sep]))</f>
        <v/>
      </c>
      <c r="K11" s="17" t="str">
        <f>IF(SUM(Income[Oct])=0,"",SUM(Income[Oct]))</f>
        <v/>
      </c>
      <c r="L11" s="17" t="str">
        <f>IF(SUM(Income[Nov])=0,"",SUM(Income[Nov]))</f>
        <v/>
      </c>
      <c r="M11" s="17" t="str">
        <f>IF(SUM(Income[Dec])=0,"",SUM(Income[Dec]))</f>
        <v/>
      </c>
      <c r="N11" s="17">
        <f>SUBTOTAL(109,Income[YTD])</f>
        <v>302000</v>
      </c>
    </row>
    <row r="12" spans="1:14" s="4" customFormat="1" x14ac:dyDescent="0.3"/>
    <row r="13" spans="1:14" ht="15" thickBot="1" x14ac:dyDescent="0.3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 ht="15" thickBot="1" x14ac:dyDescent="0.35">
      <c r="A14" s="19" t="s">
        <v>21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1"/>
    </row>
    <row r="15" spans="1:14" x14ac:dyDescent="0.3">
      <c r="A15" s="8" t="s">
        <v>0</v>
      </c>
      <c r="B15" s="9" t="s">
        <v>1</v>
      </c>
      <c r="C15" s="9" t="s">
        <v>2</v>
      </c>
      <c r="D15" s="9" t="s">
        <v>3</v>
      </c>
      <c r="E15" s="9" t="s">
        <v>4</v>
      </c>
      <c r="F15" s="9" t="s">
        <v>5</v>
      </c>
      <c r="G15" s="9" t="s">
        <v>6</v>
      </c>
      <c r="H15" s="9" t="s">
        <v>7</v>
      </c>
      <c r="I15" s="9" t="s">
        <v>8</v>
      </c>
      <c r="J15" s="9" t="s">
        <v>9</v>
      </c>
      <c r="K15" s="9" t="s">
        <v>10</v>
      </c>
      <c r="L15" s="9" t="s">
        <v>11</v>
      </c>
      <c r="M15" s="9" t="s">
        <v>12</v>
      </c>
      <c r="N15" s="10" t="s">
        <v>19</v>
      </c>
    </row>
    <row r="16" spans="1:14" x14ac:dyDescent="0.3">
      <c r="A16" s="7" t="s">
        <v>23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</row>
    <row r="17" spans="1:14" x14ac:dyDescent="0.3">
      <c r="A17" s="2" t="s">
        <v>24</v>
      </c>
      <c r="B17" s="13">
        <v>23000</v>
      </c>
      <c r="C17" s="13">
        <v>23000</v>
      </c>
      <c r="D17" s="13">
        <v>23000</v>
      </c>
      <c r="E17" s="13">
        <v>22500</v>
      </c>
      <c r="F17" s="13"/>
      <c r="G17" s="13"/>
      <c r="H17" s="13"/>
      <c r="I17" s="13"/>
      <c r="J17" s="13"/>
      <c r="K17" s="13"/>
      <c r="L17" s="13"/>
      <c r="M17" s="13"/>
      <c r="N17" s="13">
        <f>SUM(Expenses[[#This Row],[Jan]:[Dec]])</f>
        <v>91500</v>
      </c>
    </row>
    <row r="18" spans="1:14" x14ac:dyDescent="0.3">
      <c r="A18" s="2" t="s">
        <v>25</v>
      </c>
      <c r="B18" s="13">
        <v>400</v>
      </c>
      <c r="C18" s="13">
        <v>400</v>
      </c>
      <c r="D18" s="13">
        <v>400</v>
      </c>
      <c r="E18" s="13">
        <v>400</v>
      </c>
      <c r="F18" s="13"/>
      <c r="G18" s="13"/>
      <c r="H18" s="13"/>
      <c r="I18" s="13"/>
      <c r="J18" s="13"/>
      <c r="K18" s="13"/>
      <c r="L18" s="13"/>
      <c r="M18" s="13"/>
      <c r="N18" s="13">
        <f>SUM(Expenses[[#This Row],[Jan]:[Dec]])</f>
        <v>1600</v>
      </c>
    </row>
    <row r="19" spans="1:14" x14ac:dyDescent="0.3">
      <c r="A19" s="2" t="s">
        <v>26</v>
      </c>
      <c r="B19" s="13">
        <v>1700</v>
      </c>
      <c r="C19" s="13">
        <v>1600</v>
      </c>
      <c r="D19" s="13">
        <v>2300</v>
      </c>
      <c r="E19" s="13">
        <v>2800</v>
      </c>
      <c r="F19" s="13"/>
      <c r="G19" s="13"/>
      <c r="H19" s="13"/>
      <c r="I19" s="13"/>
      <c r="J19" s="13"/>
      <c r="K19" s="13"/>
      <c r="L19" s="13"/>
      <c r="M19" s="13"/>
      <c r="N19" s="13">
        <f>SUM(Expenses[[#This Row],[Jan]:[Dec]])</f>
        <v>8400</v>
      </c>
    </row>
    <row r="20" spans="1:14" x14ac:dyDescent="0.3">
      <c r="A20" s="2" t="s">
        <v>27</v>
      </c>
      <c r="B20" s="13">
        <v>800</v>
      </c>
      <c r="C20" s="13">
        <v>950</v>
      </c>
      <c r="D20" s="13">
        <v>940</v>
      </c>
      <c r="E20" s="13">
        <v>1020</v>
      </c>
      <c r="F20" s="13"/>
      <c r="G20" s="13"/>
      <c r="H20" s="13"/>
      <c r="I20" s="13"/>
      <c r="J20" s="13"/>
      <c r="K20" s="13"/>
      <c r="L20" s="13"/>
      <c r="M20" s="13"/>
      <c r="N20" s="13">
        <f>SUM(Expenses[[#This Row],[Jan]:[Dec]])</f>
        <v>3710</v>
      </c>
    </row>
    <row r="21" spans="1:14" x14ac:dyDescent="0.3">
      <c r="A21" s="2" t="s">
        <v>28</v>
      </c>
      <c r="B21" s="13">
        <v>600</v>
      </c>
      <c r="C21" s="13">
        <v>230</v>
      </c>
      <c r="D21" s="13">
        <v>2350</v>
      </c>
      <c r="E21" s="13">
        <v>1540</v>
      </c>
      <c r="F21" s="13"/>
      <c r="G21" s="13"/>
      <c r="H21" s="13"/>
      <c r="I21" s="13"/>
      <c r="J21" s="13"/>
      <c r="K21" s="13"/>
      <c r="L21" s="13"/>
      <c r="M21" s="13"/>
      <c r="N21" s="13">
        <f>SUM(Expenses[[#This Row],[Jan]:[Dec]])</f>
        <v>4720</v>
      </c>
    </row>
    <row r="22" spans="1:14" x14ac:dyDescent="0.3">
      <c r="A22" s="6" t="s">
        <v>29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</row>
    <row r="23" spans="1:14" x14ac:dyDescent="0.3">
      <c r="A23" s="2" t="s">
        <v>30</v>
      </c>
      <c r="B23" s="13">
        <v>200</v>
      </c>
      <c r="C23" s="13">
        <v>180</v>
      </c>
      <c r="D23" s="13">
        <v>160</v>
      </c>
      <c r="E23" s="13">
        <v>210</v>
      </c>
      <c r="F23" s="13"/>
      <c r="G23" s="13"/>
      <c r="H23" s="13"/>
      <c r="I23" s="13"/>
      <c r="J23" s="13"/>
      <c r="K23" s="13"/>
      <c r="L23" s="13"/>
      <c r="M23" s="13"/>
      <c r="N23" s="13">
        <f>SUM(Expenses[[#This Row],[Jan]:[Dec]])</f>
        <v>750</v>
      </c>
    </row>
    <row r="24" spans="1:14" x14ac:dyDescent="0.3">
      <c r="A24" s="2" t="s">
        <v>31</v>
      </c>
      <c r="B24" s="13">
        <v>50</v>
      </c>
      <c r="C24" s="13">
        <v>45</v>
      </c>
      <c r="D24" s="13">
        <v>37</v>
      </c>
      <c r="E24" s="13">
        <v>0</v>
      </c>
      <c r="F24" s="13"/>
      <c r="G24" s="13"/>
      <c r="H24" s="13"/>
      <c r="I24" s="13"/>
      <c r="J24" s="13"/>
      <c r="K24" s="13"/>
      <c r="L24" s="13"/>
      <c r="M24" s="13"/>
      <c r="N24" s="13">
        <f>SUM(Expenses[[#This Row],[Jan]:[Dec]])</f>
        <v>132</v>
      </c>
    </row>
    <row r="25" spans="1:14" x14ac:dyDescent="0.3">
      <c r="A25" s="6" t="s">
        <v>32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</row>
    <row r="26" spans="1:14" x14ac:dyDescent="0.3">
      <c r="A26" s="2" t="s">
        <v>33</v>
      </c>
      <c r="B26" s="13">
        <v>125</v>
      </c>
      <c r="C26" s="13">
        <v>100</v>
      </c>
      <c r="D26" s="13">
        <v>67</v>
      </c>
      <c r="E26" s="13">
        <v>140</v>
      </c>
      <c r="F26" s="13"/>
      <c r="G26" s="13"/>
      <c r="H26" s="13"/>
      <c r="I26" s="13"/>
      <c r="J26" s="13"/>
      <c r="K26" s="13"/>
      <c r="L26" s="13"/>
      <c r="M26" s="13"/>
      <c r="N26" s="13">
        <f>SUM(Expenses[[#This Row],[Jan]:[Dec]])</f>
        <v>432</v>
      </c>
    </row>
    <row r="27" spans="1:14" x14ac:dyDescent="0.3">
      <c r="A27" s="2" t="s">
        <v>34</v>
      </c>
      <c r="B27" s="13">
        <v>10</v>
      </c>
      <c r="C27" s="13">
        <v>5</v>
      </c>
      <c r="D27" s="13">
        <v>9</v>
      </c>
      <c r="E27" s="13">
        <v>0</v>
      </c>
      <c r="F27" s="13"/>
      <c r="G27" s="13"/>
      <c r="H27" s="13"/>
      <c r="I27" s="13"/>
      <c r="J27" s="13"/>
      <c r="K27" s="13"/>
      <c r="L27" s="13"/>
      <c r="M27" s="13"/>
      <c r="N27" s="13">
        <f>SUM(Expenses[[#This Row],[Jan]:[Dec]])</f>
        <v>24</v>
      </c>
    </row>
    <row r="28" spans="1:14" ht="15" thickBot="1" x14ac:dyDescent="0.35">
      <c r="A28" s="2" t="s">
        <v>35</v>
      </c>
      <c r="B28" s="13">
        <v>20</v>
      </c>
      <c r="C28" s="13">
        <v>45</v>
      </c>
      <c r="D28" s="13">
        <v>67</v>
      </c>
      <c r="E28" s="13">
        <v>120</v>
      </c>
      <c r="F28" s="13"/>
      <c r="G28" s="13"/>
      <c r="H28" s="13"/>
      <c r="I28" s="13"/>
      <c r="J28" s="13"/>
      <c r="K28" s="13"/>
      <c r="L28" s="13"/>
      <c r="M28" s="13"/>
      <c r="N28" s="13">
        <f>SUM(Expenses[[#This Row],[Jan]:[Dec]])</f>
        <v>252</v>
      </c>
    </row>
    <row r="29" spans="1:14" ht="15" thickBot="1" x14ac:dyDescent="0.35">
      <c r="A29" s="11" t="s">
        <v>36</v>
      </c>
      <c r="B29" s="22">
        <f>IF(SUM(Expenses[Jan])=0,"",SUM(Expenses[Jan]))</f>
        <v>26905</v>
      </c>
      <c r="C29" s="22">
        <f>IF(SUM(Expenses[Feb])=0,"",SUM(Expenses[Feb]))</f>
        <v>26555</v>
      </c>
      <c r="D29" s="22">
        <f>IF(SUM(Expenses[Mar])=0,"",SUM(Expenses[Mar]))</f>
        <v>29330</v>
      </c>
      <c r="E29" s="22">
        <f>IF(SUM(Expenses[Apr])=0,"",SUM(Expenses[Apr]))</f>
        <v>28730</v>
      </c>
      <c r="F29" s="22" t="str">
        <f>IF(SUM(Expenses[May])=0,"",SUM(Expenses[May]))</f>
        <v/>
      </c>
      <c r="G29" s="22" t="str">
        <f>IF(SUM(Expenses[Jun])=0,"",SUM(Expenses[Jun]))</f>
        <v/>
      </c>
      <c r="H29" s="22" t="str">
        <f>IF(SUM(Expenses[Jul])=0,"",SUM(Expenses[Jul]))</f>
        <v/>
      </c>
      <c r="I29" s="22" t="str">
        <f>IF(SUM(Expenses[Aug])=0,"",SUM(Expenses[Aug]))</f>
        <v/>
      </c>
      <c r="J29" s="22" t="str">
        <f>IF(SUM(Expenses[Sep])=0,"",SUM(Expenses[Sep]))</f>
        <v/>
      </c>
      <c r="K29" s="22" t="str">
        <f>IF(SUM(Expenses[Oct])=0,"",SUM(Expenses[Oct]))</f>
        <v/>
      </c>
      <c r="L29" s="22" t="str">
        <f>IF(SUM(Expenses[Nov])=0,"",SUM(Expenses[Nov]))</f>
        <v/>
      </c>
      <c r="M29" s="22" t="str">
        <f>IF(SUM(Expenses[Dec])=0,"",SUM(Expenses[Dec]))</f>
        <v/>
      </c>
      <c r="N29" s="22">
        <f>SUBTOTAL(109,Expenses[YTD])</f>
        <v>111520</v>
      </c>
    </row>
    <row r="30" spans="1:14" ht="15" thickBot="1" x14ac:dyDescent="0.35"/>
    <row r="31" spans="1:14" ht="15" thickBot="1" x14ac:dyDescent="0.35">
      <c r="A31" s="12" t="s">
        <v>37</v>
      </c>
      <c r="B31" s="14">
        <f>IF(Income[[#Totals],[Jan]]-Expenses[[#Totals],[Jan]]=0,"",Income[[#Totals],[Jan]]-Expenses[[#Totals],[Jan]])</f>
        <v>49095</v>
      </c>
      <c r="C31" s="14">
        <f>IF(Income[[#Totals],[Feb]]-Expenses[[#Totals],[Feb]]=0,"",Income[[#Totals],[Feb]]-Expenses[[#Totals],[Feb]])</f>
        <v>48045</v>
      </c>
      <c r="D31" s="14">
        <f>IF(Income[[#Totals],[Mar]]-Expenses[[#Totals],[Mar]]=0,"",Income[[#Totals],[Mar]]-Expenses[[#Totals],[Mar]])</f>
        <v>32070</v>
      </c>
      <c r="E31" s="14">
        <f>IF(Income[[#Totals],[Apr]]-Expenses[[#Totals],[Apr]]=0,"",Income[[#Totals],[Apr]]-Expenses[[#Totals],[Apr]])</f>
        <v>61270</v>
      </c>
      <c r="F31" s="14"/>
      <c r="G31" s="14"/>
      <c r="H31" s="14"/>
      <c r="I31" s="14"/>
      <c r="J31" s="14"/>
      <c r="K31" s="14"/>
      <c r="L31" s="14"/>
      <c r="M31" s="14"/>
      <c r="N31" s="14">
        <f>Income[[#Totals],[YTD]]-Expenses[[#Totals],[YTD]]</f>
        <v>190480</v>
      </c>
    </row>
  </sheetData>
  <mergeCells count="3">
    <mergeCell ref="A1:N1"/>
    <mergeCell ref="A14:N14"/>
    <mergeCell ref="A5:N5"/>
  </mergeCells>
  <phoneticPr fontId="4" type="noConversion"/>
  <conditionalFormatting sqref="B31:M31">
    <cfRule type="cellIs" dxfId="42" priority="1" operator="lessThan">
      <formula>35000</formula>
    </cfRule>
  </conditionalFormatting>
  <pageMargins left="0.7" right="0.7" top="0.75" bottom="0.75" header="0.3" footer="0.3"/>
  <pageSetup paperSize="9" scale="53" orientation="landscape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Mihir Vaghasiya</dc:creator>
  <cp:lastModifiedBy>Mihir Vaghasiya</cp:lastModifiedBy>
  <cp:lastPrinted>2026-03-29T19:49:09Z</cp:lastPrinted>
  <dcterms:created xsi:type="dcterms:W3CDTF">2026-03-29T18:17:05Z</dcterms:created>
  <dcterms:modified xsi:type="dcterms:W3CDTF">2026-04-02T02:34:52Z</dcterms:modified>
</cp:coreProperties>
</file>