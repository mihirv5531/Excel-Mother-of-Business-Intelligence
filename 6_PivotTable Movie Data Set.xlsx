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Codebasics\Excel\Task 5\"/>
    </mc:Choice>
  </mc:AlternateContent>
  <xr:revisionPtr revIDLastSave="0" documentId="13_ncr:1_{51CDD3F8-CB75-4ECC-9DF6-4505D580A7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Financials" sheetId="13" r:id="rId1"/>
    <sheet name="Studio Sales Report" sheetId="15" r:id="rId2"/>
    <sheet name="movies" sheetId="1" r:id="rId3"/>
    <sheet name="financials" sheetId="2" r:id="rId4"/>
    <sheet name="actors" sheetId="3" r:id="rId5"/>
    <sheet name="movie_actor" sheetId="4" r:id="rId6"/>
    <sheet name="languages" sheetId="5" r:id="rId7"/>
    <sheet name="Movies Target" sheetId="16" r:id="rId8"/>
  </sheets>
  <definedNames>
    <definedName name="_xlcn.WorksheetConnection_6_PivotTableMovieDataSet.xlsxtarget1" hidden="1">target[]</definedName>
  </definedNames>
  <calcPr calcId="191029"/>
  <pivotCaches>
    <pivotCache cacheId="10" r:id="rId9"/>
    <pivotCache cacheId="12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PnL_18cbfeac-6445-464b-9322-66b02a7fb2e0" name="SalesPnL" connection="Query - SalesPnL"/>
          <x15:modelTable id="target" name="target" connection="WorksheetConnection_6_PivotTable Movie Data Set.xlsx!target"/>
        </x15:modelTables>
        <x15:modelRelationships>
          <x15:modelRelationship fromTable="SalesPnL" fromColumn="studio" toTable="target" toColumn="studio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79B5F0-BAC1-4F1D-B3A0-A66366853301}" keepAlive="1" name="Query - Financials" description="Connection to the 'Financials' query in the workbook." type="5" refreshedVersion="0" background="1">
    <dbPr connection="Provider=Microsoft.Mashup.OleDb.1;Data Source=$Workbook$;Location=Financials;Extended Properties=&quot;&quot;" command="SELECT * FROM [Financials]"/>
  </connection>
  <connection id="2" xr16:uid="{208B5922-B0A9-46D9-8CB8-6E54360E1A88}" keepAlive="1" name="Query - languages" description="Connection to the 'languages' query in the workbook." type="5" refreshedVersion="0" background="1">
    <dbPr connection="Provider=Microsoft.Mashup.OleDb.1;Data Source=$Workbook$;Location=languages;Extended Properties=&quot;&quot;" command="SELECT * FROM [languages]"/>
  </connection>
  <connection id="3" xr16:uid="{62BE2501-D957-4FDE-9920-D710ED70F92C}" keepAlive="1" name="Query - Movie Financials" description="Connection to the 'Movie Financials' query in the workbook." type="5" refreshedVersion="8" background="1" saveData="1">
    <dbPr connection="Provider=Microsoft.Mashup.OleDb.1;Data Source=$Workbook$;Location=&quot;Movie Financials&quot;;Extended Properties=&quot;&quot;" command="SELECT * FROM [Movie Financials]"/>
  </connection>
  <connection id="4" xr16:uid="{0AB93EFB-67E9-4D86-AB18-9079B1C1E6D2}" keepAlive="1" name="Query - Movies" description="Connection to the 'Movies' query in the workbook." type="5" refreshedVersion="0" background="1">
    <dbPr connection="Provider=Microsoft.Mashup.OleDb.1;Data Source=$Workbook$;Location=Movies;Extended Properties=&quot;&quot;" command="SELECT * FROM [Movies]"/>
  </connection>
  <connection id="5" xr16:uid="{380548F4-9802-4967-B95F-9D33FB4A2E57}" keepAlive="1" name="Query - MoviesFinancials" description="Connection to the 'MoviesFinancials' query in the workbook." type="5" refreshedVersion="0" background="1">
    <dbPr connection="Provider=Microsoft.Mashup.OleDb.1;Data Source=$Workbook$;Location=MoviesFinancials;Extended Properties=&quot;&quot;" command="SELECT * FROM [MoviesFinancials]"/>
  </connection>
  <connection id="6" xr16:uid="{CBDAFC83-8A6A-42A4-ADF5-5F98E7401995}" keepAlive="1" name="Query - MoviesFinancials1" description="Connection to the 'MoviesFinancials' query in the workbook." type="5" refreshedVersion="8" background="1" saveData="1">
    <dbPr connection="Provider=Microsoft.Mashup.OleDb.1;Data Source=$Workbook$;Location=MoviesFinancials;Extended Properties=&quot;&quot;" command="SELECT * FROM [MoviesFinancials]"/>
  </connection>
  <connection id="7" xr16:uid="{DBFBAA8B-9CA8-478D-A996-C8978DF93E13}" name="Query - SalesPnL" description="Connection to the 'SalesPnL' query in the workbook." type="100" refreshedVersion="8" minRefreshableVersion="5">
    <extLst>
      <ext xmlns:x15="http://schemas.microsoft.com/office/spreadsheetml/2010/11/main" uri="{DE250136-89BD-433C-8126-D09CA5730AF9}">
        <x15:connection id="5eb7d286-f4cf-4418-8c21-9959ed25d5ef"/>
      </ext>
    </extLst>
  </connection>
  <connection id="8" xr16:uid="{900794BC-ADA9-499B-85F5-F813BEC7F95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244F0F12-8D70-4331-97DE-80C713155AB2}" name="WorksheetConnection_6_PivotTable Movie Data Set.xlsx!target" type="102" refreshedVersion="8" minRefreshableVersion="5">
    <extLst>
      <ext xmlns:x15="http://schemas.microsoft.com/office/spreadsheetml/2010/11/main" uri="{DE250136-89BD-433C-8126-D09CA5730AF9}">
        <x15:connection id="target">
          <x15:rangePr sourceName="_xlcn.WorksheetConnection_6_PivotTableMovieDataSet.xlsxtarget1"/>
        </x15:connection>
      </ext>
    </extLst>
  </connection>
</connections>
</file>

<file path=xl/sharedStrings.xml><?xml version="1.0" encoding="utf-8"?>
<sst xmlns="http://schemas.openxmlformats.org/spreadsheetml/2006/main" count="397" uniqueCount="220">
  <si>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</si>
  <si>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</si>
  <si>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</si>
  <si>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</si>
  <si>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</si>
  <si>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</si>
  <si>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</si>
  <si>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</si>
  <si>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</si>
  <si>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</si>
  <si>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</si>
  <si>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</si>
  <si>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</si>
  <si>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</si>
  <si>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</si>
  <si>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</si>
  <si>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 xml:space="preserve">Universal Pictures  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</si>
  <si>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</si>
  <si>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</si>
  <si>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</si>
  <si>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</si>
  <si>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</si>
  <si>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</si>
  <si>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</si>
  <si>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</si>
  <si>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</si>
  <si>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</si>
  <si>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</si>
  <si>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</si>
  <si>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</si>
  <si>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</si>
  <si>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</si>
  <si>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</si>
  <si>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</si>
  <si>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</si>
  <si>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</si>
  <si>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</si>
  <si>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</si>
  <si>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</si>
  <si>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</si>
  <si>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</si>
  <si>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</si>
  <si>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</si>
  <si>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</si>
  <si>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</si>
  <si>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</si>
  <si>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</si>
  <si>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</si>
  <si>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</si>
  <si>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</si>
  <si>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</si>
  <si>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</si>
  <si>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</si>
  <si>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</si>
  <si>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</si>
  <si>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</si>
  <si>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</si>
  <si>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</si>
  <si>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</si>
  <si>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</si>
  <si>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</si>
  <si>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</si>
  <si>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</si>
  <si>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</si>
  <si>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</si>
  <si>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</si>
  <si>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</si>
  <si>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</si>
  <si>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</si>
  <si>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</si>
  <si>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</si>
  <si>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</si>
  <si>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</si>
  <si>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</si>
  <si>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</si>
  <si>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</si>
  <si>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</si>
  <si>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</si>
  <si>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</si>
  <si>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</si>
  <si>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</si>
  <si>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</si>
  <si>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</si>
  <si>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</si>
  <si>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</si>
  <si>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</si>
  <si>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</si>
  <si>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</si>
  <si>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</si>
  <si>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</si>
  <si>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</si>
  <si>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</si>
  <si>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</si>
  <si>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</si>
  <si>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</si>
  <si>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</si>
  <si>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</si>
  <si>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</si>
  <si>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</si>
  <si>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</si>
  <si>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</si>
  <si>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</si>
  <si>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</si>
  <si>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</si>
  <si>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</si>
  <si>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</si>
  <si>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</si>
  <si>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</si>
  <si>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</si>
  <si>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</si>
  <si>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</si>
  <si>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</si>
  <si>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</si>
  <si>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</si>
  <si>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</si>
  <si>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movie_id_title</t>
  </si>
  <si>
    <t xml:space="preserve">  Hombale Films</t>
  </si>
  <si>
    <t xml:space="preserve">  Vinod Chopra Films</t>
  </si>
  <si>
    <t xml:space="preserve"> Marvel Studios</t>
  </si>
  <si>
    <t xml:space="preserve">    Paramount Pictures</t>
  </si>
  <si>
    <t xml:space="preserve"> Government of West Bengal  </t>
  </si>
  <si>
    <t>101:K.G.F: Chapter 2</t>
  </si>
  <si>
    <t>102:Doctor Strange in the Multiverse of Madness</t>
  </si>
  <si>
    <t xml:space="preserve">103:Thor: The Dark World </t>
  </si>
  <si>
    <t xml:space="preserve">104:Thor: Ragnarok </t>
  </si>
  <si>
    <t xml:space="preserve">105:Thor: Love and Thunder </t>
  </si>
  <si>
    <t>106:Sholay</t>
  </si>
  <si>
    <t>107:Dilwale Dulhania Le Jayenge</t>
  </si>
  <si>
    <t>108: 3 Idiots</t>
  </si>
  <si>
    <t>109:Kabhi Khushi Kabhie Gham</t>
  </si>
  <si>
    <t xml:space="preserve">110:Bajirao Mastani </t>
  </si>
  <si>
    <t>111: The Shawshank Redemption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</si>
  <si>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</si>
  <si>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</si>
  <si>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</si>
  <si>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</si>
  <si>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</si>
  <si>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</si>
  <si>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</si>
  <si>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</si>
  <si>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</si>
  <si>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</si>
  <si>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</si>
  <si>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</si>
  <si>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</si>
  <si>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</si>
  <si>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</si>
  <si>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</si>
  <si>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</si>
  <si>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</si>
  <si>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</si>
  <si>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</si>
  <si>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</si>
  <si>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</si>
  <si>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</si>
  <si>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</si>
  <si>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</si>
  <si>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</si>
  <si>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</si>
  <si>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</si>
  <si>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Column1</t>
  </si>
  <si>
    <t>K.G.F: Chapter 2</t>
  </si>
  <si>
    <t>Hombale Films</t>
  </si>
  <si>
    <t>Doctor Strange in the Multiverse of Madness</t>
  </si>
  <si>
    <t>Sholay</t>
  </si>
  <si>
    <t>Dilwale Dulhania Le Jayenge</t>
  </si>
  <si>
    <t>Kabhi Khushi Kabhie Gham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</si>
  <si>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</si>
  <si>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</si>
  <si>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</si>
  <si>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</si>
  <si>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</si>
  <si>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</si>
  <si>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</si>
  <si>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</si>
  <si>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</si>
  <si>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</si>
  <si>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</si>
  <si>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</si>
  <si>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</si>
  <si>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</si>
  <si>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</si>
  <si>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Government of West Bengal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</si>
  <si>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</si>
  <si>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</si>
  <si>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</si>
  <si>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</si>
  <si>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</si>
  <si>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</si>
  <si>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</si>
  <si>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</si>
  <si>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</si>
  <si>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</si>
  <si>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</si>
  <si>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</si>
  <si>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</si>
  <si>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Thor: The Dark World</t>
  </si>
  <si>
    <t>Thor: Ragnarok</t>
  </si>
  <si>
    <t>Thor: Love and Thunder</t>
  </si>
  <si>
    <t>3 Idiots</t>
  </si>
  <si>
    <t>Bajirao Mastani</t>
  </si>
  <si>
    <t>The Shawshank Redemption</t>
  </si>
  <si>
    <t>Row Labels</t>
  </si>
  <si>
    <t>Grand Total</t>
  </si>
  <si>
    <t>IMDB Rating</t>
  </si>
  <si>
    <t>Budget USD Mln</t>
  </si>
  <si>
    <t>Revenue USD Mln</t>
  </si>
  <si>
    <t>Movies Sales Data</t>
  </si>
  <si>
    <t>Profit USD Mln</t>
  </si>
  <si>
    <t>Studio Sales PnL Report</t>
  </si>
  <si>
    <t>target</t>
  </si>
  <si>
    <t>max target</t>
  </si>
  <si>
    <t>revenue USD $ mln</t>
  </si>
  <si>
    <t>budget USD $ mln</t>
  </si>
  <si>
    <t>p/n $ mln</t>
  </si>
  <si>
    <t>p/n %</t>
  </si>
  <si>
    <t>target $ mln</t>
  </si>
  <si>
    <t>Actuals - Target $ mln</t>
  </si>
  <si>
    <t>Actuals - Target 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</si>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</sst>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$-409]#,##0.00"/>
    <numFmt numFmtId="166" formatCode="0.00%;\-0.00%;0.00%"/>
    <numFmt numFmtId="167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164" formatCode="[$$-409]#,##0.00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9BB11458-C1E3-47F7-AA53-31B1251E62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3</xdr:row>
          <xdr:rowOff>45720</xdr:rowOff>
        </xdr:from>
        <xdr:to>
          <xdr:col>11</xdr:col>
          <xdr:colOff>76200</xdr:colOff>
          <xdr:row>5</xdr:row>
          <xdr:rowOff>7620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Refresh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hir Vaghasiya" refreshedDate="46224.188002083334" backgroundQuery="1" createdVersion="8" refreshedVersion="8" minRefreshableVersion="3" recordCount="39" xr:uid="{AEFB68D3-0BDA-4F1C-97F7-191A86474E25}">
  <cacheSource type="external" connectionId="3"/>
  <cacheFields count="19">
    <cacheField name="movie_id" numFmtId="0">
      <sharedItems/>
    </cacheField>
    <cacheField name="title" numFmtId="0">
      <sharedItems count="39">
        <s v="K.G.F: Chapter 2"/>
        <s v="Dilwale Dulhania Le Jayenge"/>
        <s v="3 Idiots"/>
        <s v="Kabhi Khushi Kabhie Gham"/>
        <s v="Bajirao Mastani"/>
        <s v="Doctor Strange in the Multiverse of Madness"/>
        <s v="Thor: The Dark World"/>
        <s v="Thor: Ragnarok"/>
        <s v="Thor: Love and Thunder"/>
        <s v="The Shawshank Redemption"/>
        <s v="Interstellar"/>
        <s v="The Pursuit of Happyness"/>
        <s v="Gladiator"/>
        <s v="Titanic"/>
        <s v="It's a Wonderful Life"/>
        <s v="Avatar"/>
        <s v="The Godfather"/>
        <s v="The Dark Knight"/>
        <s v="Schindler's List"/>
        <s v="Jurassic Park"/>
        <s v="Parasite"/>
        <s v="Avengers: Endgame"/>
        <s v="Avengers: Infinity War"/>
        <s v="Pather Panchali"/>
        <s v="Taare Zameen Par"/>
        <s v="Munna Bhai M.B.B.S."/>
        <s v="PK"/>
        <s v="Sanju"/>
        <s v="Pushpa: The Rise - Part 1"/>
        <s v="RRR"/>
        <s v="Baahubali: The Beginning"/>
        <s v="The Kashmir Files"/>
        <s v="Bajrangi Bhaijaan"/>
        <s v="Captain America: The First Avenger"/>
        <s v="Captain America: The Winter Soldier"/>
        <s v="Race 3"/>
        <s v="Shershaah"/>
        <s v="Sholay"/>
        <s v="Inception"/>
      </sharedItems>
    </cacheField>
    <cacheField name="industry" numFmtId="0">
      <sharedItems count="2">
        <s v="Bollywood"/>
        <s v="Hollywood"/>
      </sharedItems>
    </cacheField>
    <cacheField name="release_year" numFmtId="0">
      <sharedItems containsSemiMixedTypes="0" containsString="0" containsNumber="1" containsInteger="1" minValue="1946" maxValue="2022" count="25">
        <n v="2022"/>
        <n v="1995"/>
        <n v="2009"/>
        <n v="2001"/>
        <n v="2015"/>
        <n v="2013"/>
        <n v="2017"/>
        <n v="1994"/>
        <n v="2014"/>
        <n v="2006"/>
        <n v="2000"/>
        <n v="1997"/>
        <n v="1946"/>
        <n v="1972"/>
        <n v="2008"/>
        <n v="1993"/>
        <n v="2019"/>
        <n v="2018"/>
        <n v="1955"/>
        <n v="2007"/>
        <n v="2003"/>
        <n v="2021"/>
        <n v="2011"/>
        <n v="1975"/>
        <n v="2010"/>
      </sharedItems>
    </cacheField>
    <cacheField name="imdb_rating" numFmtId="0">
      <sharedItems containsString="0" containsBlank="1" containsNumber="1" minValue="1.9" maxValue="9.3000000000000007" count="21">
        <n v="8.4"/>
        <n v="8"/>
        <n v="7.4"/>
        <n v="7.2"/>
        <n v="7"/>
        <n v="6.8"/>
        <n v="7.9"/>
        <n v="9.3000000000000007"/>
        <n v="8.6"/>
        <n v="8.5"/>
        <n v="7.8"/>
        <n v="9.1999999999999993"/>
        <n v="9"/>
        <n v="8.1999999999999993"/>
        <n v="8.3000000000000007"/>
        <n v="8.1"/>
        <m/>
        <n v="7.6"/>
        <n v="6.9"/>
        <n v="1.9"/>
        <n v="8.8000000000000007"/>
      </sharedItems>
    </cacheField>
    <cacheField name="studio" numFmtId="0">
      <sharedItems count="22">
        <s v="Hombale Films"/>
        <s v="Yash Raj Films"/>
        <s v="Vinod Chopra Films"/>
        <s v="Dharma Productions"/>
        <s v="Not Available"/>
        <s v="Marvel Studios"/>
        <s v="Castle Rock Entertainment"/>
        <s v="Warner Bros. Pictures"/>
        <s v="Columbia Pictures"/>
        <s v="Universal Pictures"/>
        <s v="Paramount Pictures"/>
        <s v="Liberty Films"/>
        <s v="20th Century Fox"/>
        <s v="Syncopy"/>
        <s v="Government of West Bengal"/>
        <s v="Vinod Chopra Productions"/>
        <s v="Mythri Movie Makers"/>
        <s v="DVV Entertainment"/>
        <s v="Arka Media Works"/>
        <s v="Zee Studios"/>
        <s v="Salman Khan Films"/>
        <s v="United Producers"/>
      </sharedItems>
    </cacheField>
    <cacheField name="language_id" numFmtId="0">
      <sharedItems containsSemiMixedTypes="0" containsString="0" containsNumber="1" containsInteger="1" minValue="1" maxValue="7" count="5">
        <n v="3"/>
        <n v="1"/>
        <n v="5"/>
        <n v="7"/>
        <n v="2"/>
      </sharedItems>
    </cacheField>
    <cacheField name="language" numFmtId="0">
      <sharedItems count="5">
        <s v="Kannada"/>
        <s v="Hindi"/>
        <s v="English"/>
        <s v="Bengali"/>
        <s v="Telugu"/>
      </sharedItems>
    </cacheField>
    <cacheField name="budget" numFmtId="0">
      <sharedItems containsString="0" containsBlank="1" containsNumber="1" minValue="1" maxValue="900"/>
    </cacheField>
    <cacheField name="revenue" numFmtId="0">
      <sharedItems containsString="0" containsBlank="1" containsNumber="1" minValue="3.1" maxValue="11690"/>
    </cacheField>
    <cacheField name="unit" numFmtId="0">
      <sharedItems containsBlank="1" count="3">
        <s v="Billions"/>
        <s v="Millions"/>
        <m/>
      </sharedItems>
    </cacheField>
    <cacheField name="currency" numFmtId="0">
      <sharedItems containsBlank="1" count="3">
        <s v="INR"/>
        <s v="USD"/>
        <m/>
      </sharedItems>
    </cacheField>
    <cacheField name="budget mln" numFmtId="0">
      <sharedItems containsString="0" containsBlank="1" containsNumber="1" minValue="3.18" maxValue="5500"/>
    </cacheField>
    <cacheField name="revenue mln" numFmtId="0">
      <sharedItems containsString="0" containsBlank="1" containsNumber="1" minValue="3.3" maxValue="12500"/>
    </cacheField>
    <cacheField name="budget INR" numFmtId="0">
      <sharedItems containsString="0" containsBlank="1" containsNumber="1" minValue="70" maxValue="38000"/>
    </cacheField>
    <cacheField name="revenue INR" numFmtId="0">
      <sharedItems containsString="0" containsBlank="1" containsNumber="1" minValue="100" maxValue="270465"/>
    </cacheField>
    <cacheField name="budget USD" numFmtId="0">
      <sharedItems containsString="0" containsBlank="1" containsNumber="1" minValue="0.73684210526315785" maxValue="400"/>
    </cacheField>
    <cacheField name="revenue USD" numFmtId="0">
      <sharedItems containsString="0" containsBlank="1" containsNumber="1" minValue="1.25" maxValue="2847"/>
    </cacheField>
    <cacheField name="profit USD" numFmtId="0">
      <sharedItems containsString="0" containsBlank="1" containsNumber="1" minValue="0.11999999999999966" maxValue="2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hir Vaghasiya" refreshedDate="46224.227252314813" backgroundQuery="1" createdVersion="8" refreshedVersion="8" minRefreshableVersion="3" recordCount="0" supportSubquery="1" supportAdvancedDrill="1" xr:uid="{CF3ADCC7-8475-40A0-95F2-FEC27A8B8EAF}">
  <cacheSource type="external" connectionId="8"/>
  <cacheFields count="10">
    <cacheField name="[SalesPnL].[studio].[studio]" caption="studio" numFmtId="0" hierarchy="5" level="1">
      <sharedItems count="20">
        <s v="Arka Media Works"/>
        <s v="Dharma Productions"/>
        <s v="DVV Entertainment"/>
        <s v="Government of West Bengal"/>
        <s v="Hombale Films"/>
        <s v="Mythri Movie Makers"/>
        <s v="Salman Khan Films"/>
        <s v="Vinod Chopra Films"/>
        <s v="Vinod Chopra Productions"/>
        <s v="Yash Raj Films"/>
        <s v="Zee Studios"/>
        <s v="20th Century Fox"/>
        <s v="Castle Rock Entertainment"/>
        <s v="Columbia Pictures"/>
        <s v="Liberty Films"/>
        <s v="Marvel Studios"/>
        <s v="Paramount Pictures"/>
        <s v="Syncopy"/>
        <s v="Universal Pictures"/>
        <s v="Warner Bros. Pictures"/>
      </sharedItems>
    </cacheField>
    <cacheField name="[SalesPnL].[industry].[industry]" caption="industry" numFmtId="0" hierarchy="2" level="1">
      <sharedItems count="2">
        <s v="Bollywood"/>
        <s v="Hollywood"/>
      </sharedItems>
    </cacheField>
    <cacheField name="[Measures].[revenue USD $ mln]" caption="revenue USD $ mln" numFmtId="0" hierarchy="22" level="32767"/>
    <cacheField name="[Measures].[budget USD $ mln]" caption="budget USD $ mln" numFmtId="0" hierarchy="23" level="32767"/>
    <cacheField name="[Measures].[p/n $ mln]" caption="p/n $ mln" numFmtId="0" hierarchy="24" level="32767"/>
    <cacheField name="[Measures].[p/n %]" caption="p/n %" numFmtId="0" hierarchy="25" level="32767"/>
    <cacheField name="[Measures].[max target]" caption="max target" numFmtId="0" hierarchy="26" level="32767"/>
    <cacheField name="[Measures].[target $ mln]" caption="target $ mln" numFmtId="0" hierarchy="27" level="32767"/>
    <cacheField name="[Measures].[Actuals - Target $ mln]" caption="Actuals - Target $ mln" numFmtId="0" hierarchy="28" level="32767"/>
    <cacheField name="[Measures].[Actuals - Target %]" caption="Actuals - Target %" numFmtId="0" hierarchy="29" level="32767"/>
  </cacheFields>
  <cacheHierarchies count="33">
    <cacheHierarchy uniqueName="[SalesPnL].[movie_id]" caption="movie_id" attribute="1" defaultMemberUniqueName="[SalesPnL].[movie_id].[All]" allUniqueName="[SalesPnL].[movie_id].[All]" dimensionUniqueName="[SalesPnL]" displayFolder="" count="0" memberValueDatatype="130" unbalanced="0"/>
    <cacheHierarchy uniqueName="[SalesPnL].[title]" caption="title" attribute="1" defaultMemberUniqueName="[SalesPnL].[title].[All]" allUniqueName="[SalesPnL].[title].[All]" dimensionUniqueName="[SalesPnL]" displayFolder="" count="0" memberValueDatatype="130" unbalanced="0"/>
    <cacheHierarchy uniqueName="[SalesPnL].[industry]" caption="industry" attribute="1" defaultMemberUniqueName="[SalesPnL].[industry].[All]" allUniqueName="[SalesPnL].[industry].[All]" dimensionUniqueName="[SalesPnL]" displayFolder="" count="2" memberValueDatatype="130" unbalanced="0">
      <fieldsUsage count="2">
        <fieldUsage x="-1"/>
        <fieldUsage x="1"/>
      </fieldsUsage>
    </cacheHierarchy>
    <cacheHierarchy uniqueName="[SalesPnL].[release_year]" caption="release_year" attribute="1" defaultMemberUniqueName="[SalesPnL].[release_year].[All]" allUniqueName="[SalesPnL].[release_year].[All]" dimensionUniqueName="[SalesPnL]" displayFolder="" count="0" memberValueDatatype="20" unbalanced="0"/>
    <cacheHierarchy uniqueName="[SalesPnL].[imdb_rating]" caption="imdb_rating" attribute="1" defaultMemberUniqueName="[SalesPnL].[imdb_rating].[All]" allUniqueName="[SalesPnL].[imdb_rating].[All]" dimensionUniqueName="[SalesPnL]" displayFolder="" count="0" memberValueDatatype="5" unbalanced="0"/>
    <cacheHierarchy uniqueName="[SalesPnL].[studio]" caption="studio" attribute="1" defaultMemberUniqueName="[SalesPnL].[studio].[All]" allUniqueName="[SalesPnL].[studio].[All]" dimensionUniqueName="[SalesPnL]" displayFolder="" count="2" memberValueDatatype="130" unbalanced="0">
      <fieldsUsage count="2">
        <fieldUsage x="-1"/>
        <fieldUsage x="0"/>
      </fieldsUsage>
    </cacheHierarchy>
    <cacheHierarchy uniqueName="[SalesPnL].[language_id]" caption="language_id" attribute="1" defaultMemberUniqueName="[SalesPnL].[language_id].[All]" allUniqueName="[SalesPnL].[language_id].[All]" dimensionUniqueName="[SalesPnL]" displayFolder="" count="0" memberValueDatatype="20" unbalanced="0"/>
    <cacheHierarchy uniqueName="[SalesPnL].[language]" caption="language" attribute="1" defaultMemberUniqueName="[SalesPnL].[language].[All]" allUniqueName="[SalesPnL].[language].[All]" dimensionUniqueName="[SalesPnL]" displayFolder="" count="0" memberValueDatatype="130" unbalanced="0"/>
    <cacheHierarchy uniqueName="[SalesPnL].[budget]" caption="budget" attribute="1" defaultMemberUniqueName="[SalesPnL].[budget].[All]" allUniqueName="[SalesPnL].[budget].[All]" dimensionUniqueName="[SalesPnL]" displayFolder="" count="0" memberValueDatatype="5" unbalanced="0"/>
    <cacheHierarchy uniqueName="[SalesPnL].[revenue]" caption="revenue" attribute="1" defaultMemberUniqueName="[SalesPnL].[revenue].[All]" allUniqueName="[SalesPnL].[revenue].[All]" dimensionUniqueName="[SalesPnL]" displayFolder="" count="0" memberValueDatatype="5" unbalanced="0"/>
    <cacheHierarchy uniqueName="[SalesPnL].[unit]" caption="unit" attribute="1" defaultMemberUniqueName="[SalesPnL].[unit].[All]" allUniqueName="[SalesPnL].[unit].[All]" dimensionUniqueName="[SalesPnL]" displayFolder="" count="0" memberValueDatatype="130" unbalanced="0"/>
    <cacheHierarchy uniqueName="[SalesPnL].[currency]" caption="currency" attribute="1" defaultMemberUniqueName="[SalesPnL].[currency].[All]" allUniqueName="[SalesPnL].[currency].[All]" dimensionUniqueName="[SalesPnL]" displayFolder="" count="0" memberValueDatatype="130" unbalanced="0"/>
    <cacheHierarchy uniqueName="[SalesPnL].[budget mln]" caption="budget mln" attribute="1" defaultMemberUniqueName="[SalesPnL].[budget mln].[All]" allUniqueName="[SalesPnL].[budget mln].[All]" dimensionUniqueName="[SalesPnL]" displayFolder="" count="0" memberValueDatatype="5" unbalanced="0"/>
    <cacheHierarchy uniqueName="[SalesPnL].[revenue mln]" caption="revenue mln" attribute="1" defaultMemberUniqueName="[SalesPnL].[revenue mln].[All]" allUniqueName="[SalesPnL].[revenue mln].[All]" dimensionUniqueName="[SalesPnL]" displayFolder="" count="0" memberValueDatatype="5" unbalanced="0"/>
    <cacheHierarchy uniqueName="[SalesPnL].[budget INR]" caption="budget INR" attribute="1" defaultMemberUniqueName="[SalesPnL].[budget INR].[All]" allUniqueName="[SalesPnL].[budget INR].[All]" dimensionUniqueName="[SalesPnL]" displayFolder="" count="0" memberValueDatatype="5" unbalanced="0"/>
    <cacheHierarchy uniqueName="[SalesPnL].[revenue INR]" caption="revenue INR" attribute="1" defaultMemberUniqueName="[SalesPnL].[revenue INR].[All]" allUniqueName="[SalesPnL].[revenue INR].[All]" dimensionUniqueName="[SalesPnL]" displayFolder="" count="0" memberValueDatatype="5" unbalanced="0"/>
    <cacheHierarchy uniqueName="[SalesPnL].[budget USD]" caption="budget USD" attribute="1" defaultMemberUniqueName="[SalesPnL].[budget USD].[All]" allUniqueName="[SalesPnL].[budget USD].[All]" dimensionUniqueName="[SalesPnL]" displayFolder="" count="0" memberValueDatatype="5" unbalanced="0"/>
    <cacheHierarchy uniqueName="[SalesPnL].[revenue USD]" caption="revenue USD" attribute="1" defaultMemberUniqueName="[SalesPnL].[revenue USD].[All]" allUniqueName="[SalesPnL].[revenue USD].[All]" dimensionUniqueName="[SalesPnL]" displayFolder="" count="0" memberValueDatatype="5" unbalanced="0"/>
    <cacheHierarchy uniqueName="[SalesPnL].[profit USD]" caption="profit USD" attribute="1" defaultMemberUniqueName="[SalesPnL].[profit USD].[All]" allUniqueName="[SalesPnL].[profit USD].[All]" dimensionUniqueName="[SalesPnL]" displayFolder="" count="0" memberValueDatatype="5" unbalanced="0"/>
    <cacheHierarchy uniqueName="[SalesPnL].[profittarget]" caption="profittarget" attribute="1" defaultMemberUniqueName="[SalesPnL].[profittarget].[All]" allUniqueName="[SalesPnL].[profittarget].[All]" dimensionUniqueName="[SalesPnL]" displayFolder="" count="0" memberValueDatatype="5" unbalanced="0"/>
    <cacheHierarchy uniqueName="[target].[studio]" caption="studio" attribute="1" defaultMemberUniqueName="[target].[studio].[All]" allUniqueName="[target].[studio].[All]" dimensionUniqueName="[target]" displayFolder="" count="0" memberValueDatatype="130" unbalanced="0"/>
    <cacheHierarchy uniqueName="[target].[target]" caption="target" attribute="1" defaultMemberUniqueName="[target].[target].[All]" allUniqueName="[target].[target].[All]" dimensionUniqueName="[target]" displayFolder="" count="0" memberValueDatatype="5" unbalanced="0"/>
    <cacheHierarchy uniqueName="[Measures].[revenue USD $ mln]" caption="revenue USD $ mln" measure="1" displayFolder="" measureGroup="SalesPnL" count="0" oneField="1">
      <fieldsUsage count="1">
        <fieldUsage x="2"/>
      </fieldsUsage>
    </cacheHierarchy>
    <cacheHierarchy uniqueName="[Measures].[budget USD $ mln]" caption="budget USD $ mln" measure="1" displayFolder="" measureGroup="SalesPnL" count="0" oneField="1">
      <fieldsUsage count="1">
        <fieldUsage x="3"/>
      </fieldsUsage>
    </cacheHierarchy>
    <cacheHierarchy uniqueName="[Measures].[p/n $ mln]" caption="p/n $ mln" measure="1" displayFolder="" measureGroup="SalesPnL" count="0" oneField="1">
      <fieldsUsage count="1">
        <fieldUsage x="4"/>
      </fieldsUsage>
    </cacheHierarchy>
    <cacheHierarchy uniqueName="[Measures].[p/n %]" caption="p/n %" measure="1" displayFolder="" measureGroup="SalesPnL" count="0" oneField="1">
      <fieldsUsage count="1">
        <fieldUsage x="5"/>
      </fieldsUsage>
    </cacheHierarchy>
    <cacheHierarchy uniqueName="[Measures].[max target]" caption="max target" measure="1" displayFolder="" measureGroup="SalesPnL" count="0" oneField="1">
      <fieldsUsage count="1">
        <fieldUsage x="6"/>
      </fieldsUsage>
    </cacheHierarchy>
    <cacheHierarchy uniqueName="[Measures].[target $ mln]" caption="target $ mln" measure="1" displayFolder="" measureGroup="SalesPnL" count="0" oneField="1">
      <fieldsUsage count="1">
        <fieldUsage x="7"/>
      </fieldsUsage>
    </cacheHierarchy>
    <cacheHierarchy uniqueName="[Measures].[Actuals - Target $ mln]" caption="Actuals - Target $ mln" measure="1" displayFolder="" measureGroup="SalesPnL" count="0" oneField="1">
      <fieldsUsage count="1">
        <fieldUsage x="8"/>
      </fieldsUsage>
    </cacheHierarchy>
    <cacheHierarchy uniqueName="[Measures].[Actuals - Target %]" caption="Actuals - Target %" measure="1" displayFolder="" measureGroup="SalesPnL" count="0" oneField="1">
      <fieldsUsage count="1">
        <fieldUsage x="9"/>
      </fieldsUsage>
    </cacheHierarchy>
    <cacheHierarchy uniqueName="[Measures].[__XL_Count target]" caption="__XL_Count target" measure="1" displayFolder="" measureGroup="target" count="0" hidden="1"/>
    <cacheHierarchy uniqueName="[Measures].[__XL_Count SalesPnL]" caption="__XL_Count SalesPnL" measure="1" displayFolder="" measureGroup="SalesPnL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SalesPnL" uniqueName="[SalesPnL]" caption="SalesPnL"/>
    <dimension name="target" uniqueName="[target]" caption="target"/>
  </dimensions>
  <measureGroups count="2">
    <measureGroup name="SalesPnL" caption="SalesPnL"/>
    <measureGroup name="target" caption="target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101"/>
    <x v="0"/>
    <x v="0"/>
    <x v="0"/>
    <x v="0"/>
    <x v="0"/>
    <x v="0"/>
    <x v="0"/>
    <n v="1"/>
    <n v="12.5"/>
    <x v="0"/>
    <x v="0"/>
    <n v="1000"/>
    <n v="12500"/>
    <n v="1000"/>
    <n v="12500"/>
    <n v="10.526315789473685"/>
    <n v="156.25"/>
    <n v="145.7236842105263"/>
  </r>
  <r>
    <s v="107"/>
    <x v="1"/>
    <x v="0"/>
    <x v="1"/>
    <x v="1"/>
    <x v="1"/>
    <x v="1"/>
    <x v="1"/>
    <n v="400"/>
    <n v="2000"/>
    <x v="1"/>
    <x v="0"/>
    <n v="400"/>
    <n v="2000"/>
    <n v="400"/>
    <n v="2000"/>
    <n v="4.2105263157894735"/>
    <n v="25"/>
    <n v="20.789473684210527"/>
  </r>
  <r>
    <s v="108"/>
    <x v="2"/>
    <x v="0"/>
    <x v="2"/>
    <x v="0"/>
    <x v="2"/>
    <x v="1"/>
    <x v="1"/>
    <n v="550"/>
    <n v="4000"/>
    <x v="1"/>
    <x v="0"/>
    <n v="550"/>
    <n v="4000"/>
    <n v="550"/>
    <n v="4000"/>
    <n v="5.7894736842105265"/>
    <n v="50"/>
    <n v="44.210526315789473"/>
  </r>
  <r>
    <s v="109"/>
    <x v="3"/>
    <x v="0"/>
    <x v="3"/>
    <x v="2"/>
    <x v="3"/>
    <x v="1"/>
    <x v="1"/>
    <n v="390"/>
    <n v="1360"/>
    <x v="1"/>
    <x v="0"/>
    <n v="390"/>
    <n v="1360"/>
    <n v="390"/>
    <n v="1360"/>
    <n v="4.1052631578947372"/>
    <n v="17"/>
    <n v="12.894736842105264"/>
  </r>
  <r>
    <s v="110"/>
    <x v="4"/>
    <x v="0"/>
    <x v="4"/>
    <x v="3"/>
    <x v="4"/>
    <x v="1"/>
    <x v="1"/>
    <n v="1.4"/>
    <n v="3.5"/>
    <x v="0"/>
    <x v="0"/>
    <n v="1400"/>
    <n v="3500"/>
    <n v="1400"/>
    <n v="3500"/>
    <n v="14.736842105263158"/>
    <n v="43.75"/>
    <n v="29.013157894736842"/>
  </r>
  <r>
    <s v="102"/>
    <x v="5"/>
    <x v="1"/>
    <x v="0"/>
    <x v="4"/>
    <x v="5"/>
    <x v="2"/>
    <x v="2"/>
    <n v="200"/>
    <n v="954.8"/>
    <x v="1"/>
    <x v="1"/>
    <n v="200"/>
    <n v="954.8"/>
    <n v="19000"/>
    <n v="90706"/>
    <n v="200"/>
    <n v="954.8"/>
    <n v="754.8"/>
  </r>
  <r>
    <s v="103"/>
    <x v="6"/>
    <x v="1"/>
    <x v="5"/>
    <x v="5"/>
    <x v="5"/>
    <x v="2"/>
    <x v="2"/>
    <n v="165"/>
    <n v="644.79999999999995"/>
    <x v="1"/>
    <x v="1"/>
    <n v="165"/>
    <n v="644.79999999999995"/>
    <n v="15675"/>
    <n v="61255.999999999993"/>
    <n v="165"/>
    <n v="644.79999999999995"/>
    <n v="479.79999999999995"/>
  </r>
  <r>
    <s v="104"/>
    <x v="7"/>
    <x v="1"/>
    <x v="6"/>
    <x v="6"/>
    <x v="5"/>
    <x v="2"/>
    <x v="2"/>
    <n v="180"/>
    <n v="854"/>
    <x v="1"/>
    <x v="1"/>
    <n v="180"/>
    <n v="854"/>
    <n v="17100"/>
    <n v="81130"/>
    <n v="180"/>
    <n v="854"/>
    <n v="674"/>
  </r>
  <r>
    <s v="105"/>
    <x v="8"/>
    <x v="1"/>
    <x v="0"/>
    <x v="5"/>
    <x v="5"/>
    <x v="2"/>
    <x v="2"/>
    <n v="250"/>
    <n v="670"/>
    <x v="1"/>
    <x v="1"/>
    <n v="250"/>
    <n v="670"/>
    <n v="23750"/>
    <n v="63650"/>
    <n v="250"/>
    <n v="670"/>
    <n v="420"/>
  </r>
  <r>
    <s v="111"/>
    <x v="9"/>
    <x v="1"/>
    <x v="7"/>
    <x v="7"/>
    <x v="6"/>
    <x v="2"/>
    <x v="2"/>
    <n v="25"/>
    <n v="73.3"/>
    <x v="1"/>
    <x v="1"/>
    <n v="25"/>
    <n v="73.3"/>
    <n v="2375"/>
    <n v="6963.5"/>
    <n v="25"/>
    <n v="73.3"/>
    <n v="48.3"/>
  </r>
  <r>
    <s v="113"/>
    <x v="10"/>
    <x v="1"/>
    <x v="8"/>
    <x v="8"/>
    <x v="7"/>
    <x v="2"/>
    <x v="2"/>
    <n v="165"/>
    <n v="701.8"/>
    <x v="1"/>
    <x v="1"/>
    <n v="165"/>
    <n v="701.8"/>
    <n v="15675"/>
    <n v="66671"/>
    <n v="165"/>
    <n v="701.8"/>
    <n v="536.79999999999995"/>
  </r>
  <r>
    <s v="115"/>
    <x v="11"/>
    <x v="1"/>
    <x v="9"/>
    <x v="1"/>
    <x v="8"/>
    <x v="2"/>
    <x v="2"/>
    <n v="55"/>
    <n v="307.10000000000002"/>
    <x v="1"/>
    <x v="1"/>
    <n v="55"/>
    <n v="307.10000000000002"/>
    <n v="5225"/>
    <n v="29174.500000000004"/>
    <n v="55"/>
    <n v="307.10000000000002"/>
    <n v="252.10000000000002"/>
  </r>
  <r>
    <s v="116"/>
    <x v="12"/>
    <x v="1"/>
    <x v="10"/>
    <x v="9"/>
    <x v="9"/>
    <x v="2"/>
    <x v="2"/>
    <n v="103"/>
    <n v="460.5"/>
    <x v="1"/>
    <x v="1"/>
    <n v="103"/>
    <n v="460.5"/>
    <n v="9785"/>
    <n v="43747.5"/>
    <n v="103"/>
    <n v="460.5"/>
    <n v="357.5"/>
  </r>
  <r>
    <s v="117"/>
    <x v="13"/>
    <x v="1"/>
    <x v="11"/>
    <x v="6"/>
    <x v="10"/>
    <x v="2"/>
    <x v="2"/>
    <n v="200"/>
    <n v="2202"/>
    <x v="1"/>
    <x v="1"/>
    <n v="200"/>
    <n v="2202"/>
    <n v="19000"/>
    <n v="209190"/>
    <n v="200"/>
    <n v="2202"/>
    <n v="2002"/>
  </r>
  <r>
    <s v="118"/>
    <x v="14"/>
    <x v="1"/>
    <x v="12"/>
    <x v="8"/>
    <x v="11"/>
    <x v="2"/>
    <x v="2"/>
    <n v="3.18"/>
    <n v="3.3"/>
    <x v="1"/>
    <x v="1"/>
    <n v="3.18"/>
    <n v="3.3"/>
    <n v="302.10000000000002"/>
    <n v="313.5"/>
    <n v="3.18"/>
    <n v="3.3"/>
    <n v="0.11999999999999966"/>
  </r>
  <r>
    <s v="119"/>
    <x v="15"/>
    <x v="1"/>
    <x v="2"/>
    <x v="10"/>
    <x v="12"/>
    <x v="2"/>
    <x v="2"/>
    <n v="237"/>
    <n v="2847"/>
    <x v="1"/>
    <x v="1"/>
    <n v="237"/>
    <n v="2847"/>
    <n v="22515"/>
    <n v="270465"/>
    <n v="237"/>
    <n v="2847"/>
    <n v="2610"/>
  </r>
  <r>
    <s v="120"/>
    <x v="16"/>
    <x v="1"/>
    <x v="13"/>
    <x v="11"/>
    <x v="10"/>
    <x v="2"/>
    <x v="2"/>
    <n v="7.2"/>
    <n v="291"/>
    <x v="1"/>
    <x v="1"/>
    <n v="7.2"/>
    <n v="291"/>
    <n v="684"/>
    <n v="27645"/>
    <n v="7.2"/>
    <n v="291"/>
    <n v="283.8"/>
  </r>
  <r>
    <s v="121"/>
    <x v="17"/>
    <x v="1"/>
    <x v="14"/>
    <x v="12"/>
    <x v="13"/>
    <x v="2"/>
    <x v="2"/>
    <n v="185"/>
    <n v="1006"/>
    <x v="1"/>
    <x v="1"/>
    <n v="185"/>
    <n v="1006"/>
    <n v="17575"/>
    <n v="95570"/>
    <n v="185"/>
    <n v="1006"/>
    <n v="821"/>
  </r>
  <r>
    <s v="122"/>
    <x v="18"/>
    <x v="1"/>
    <x v="15"/>
    <x v="12"/>
    <x v="9"/>
    <x v="2"/>
    <x v="2"/>
    <n v="22"/>
    <n v="322.2"/>
    <x v="1"/>
    <x v="1"/>
    <n v="22"/>
    <n v="322.2"/>
    <n v="2090"/>
    <n v="30609"/>
    <n v="22"/>
    <n v="322.2"/>
    <n v="300.2"/>
  </r>
  <r>
    <s v="123"/>
    <x v="19"/>
    <x v="1"/>
    <x v="15"/>
    <x v="13"/>
    <x v="9"/>
    <x v="2"/>
    <x v="2"/>
    <n v="63"/>
    <n v="1046"/>
    <x v="1"/>
    <x v="1"/>
    <n v="63"/>
    <n v="1046"/>
    <n v="5985"/>
    <n v="99370"/>
    <n v="63"/>
    <n v="1046"/>
    <n v="983"/>
  </r>
  <r>
    <s v="124"/>
    <x v="20"/>
    <x v="1"/>
    <x v="16"/>
    <x v="9"/>
    <x v="4"/>
    <x v="2"/>
    <x v="2"/>
    <n v="15.5"/>
    <n v="263.10000000000002"/>
    <x v="1"/>
    <x v="1"/>
    <n v="15.5"/>
    <n v="263.10000000000002"/>
    <n v="1472.5"/>
    <n v="24994.500000000004"/>
    <n v="15.5"/>
    <n v="263.10000000000002"/>
    <n v="247.60000000000002"/>
  </r>
  <r>
    <s v="125"/>
    <x v="21"/>
    <x v="1"/>
    <x v="16"/>
    <x v="0"/>
    <x v="5"/>
    <x v="2"/>
    <x v="2"/>
    <n v="400"/>
    <n v="2798"/>
    <x v="1"/>
    <x v="1"/>
    <n v="400"/>
    <n v="2798"/>
    <n v="38000"/>
    <n v="265810"/>
    <n v="400"/>
    <n v="2798"/>
    <n v="2398"/>
  </r>
  <r>
    <s v="126"/>
    <x v="22"/>
    <x v="1"/>
    <x v="17"/>
    <x v="0"/>
    <x v="5"/>
    <x v="2"/>
    <x v="2"/>
    <n v="400"/>
    <n v="2048"/>
    <x v="1"/>
    <x v="1"/>
    <n v="400"/>
    <n v="2048"/>
    <n v="38000"/>
    <n v="194560"/>
    <n v="400"/>
    <n v="2048"/>
    <n v="1648"/>
  </r>
  <r>
    <s v="127"/>
    <x v="23"/>
    <x v="0"/>
    <x v="18"/>
    <x v="14"/>
    <x v="14"/>
    <x v="3"/>
    <x v="3"/>
    <n v="70"/>
    <n v="100"/>
    <x v="1"/>
    <x v="0"/>
    <n v="70"/>
    <n v="100"/>
    <n v="70"/>
    <n v="100"/>
    <n v="0.73684210526315785"/>
    <n v="1.25"/>
    <n v="0.51315789473684215"/>
  </r>
  <r>
    <s v="128"/>
    <x v="24"/>
    <x v="0"/>
    <x v="19"/>
    <x v="14"/>
    <x v="4"/>
    <x v="1"/>
    <x v="1"/>
    <n v="120"/>
    <n v="1350"/>
    <x v="1"/>
    <x v="0"/>
    <n v="120"/>
    <n v="1350"/>
    <n v="120"/>
    <n v="1350"/>
    <n v="1.263157894736842"/>
    <n v="16.875"/>
    <n v="15.611842105263158"/>
  </r>
  <r>
    <s v="129"/>
    <x v="25"/>
    <x v="0"/>
    <x v="20"/>
    <x v="15"/>
    <x v="15"/>
    <x v="1"/>
    <x v="1"/>
    <n v="100"/>
    <n v="410"/>
    <x v="1"/>
    <x v="0"/>
    <n v="100"/>
    <n v="410"/>
    <n v="100"/>
    <n v="410"/>
    <n v="1.0526315789473684"/>
    <n v="5.125"/>
    <n v="4.0723684210526319"/>
  </r>
  <r>
    <s v="130"/>
    <x v="26"/>
    <x v="0"/>
    <x v="8"/>
    <x v="15"/>
    <x v="2"/>
    <x v="1"/>
    <x v="1"/>
    <n v="850"/>
    <n v="8540"/>
    <x v="1"/>
    <x v="0"/>
    <n v="850"/>
    <n v="8540"/>
    <n v="850"/>
    <n v="8540"/>
    <n v="8.9473684210526319"/>
    <n v="106.75"/>
    <n v="97.80263157894737"/>
  </r>
  <r>
    <s v="131"/>
    <x v="27"/>
    <x v="0"/>
    <x v="17"/>
    <x v="16"/>
    <x v="2"/>
    <x v="1"/>
    <x v="1"/>
    <n v="1"/>
    <n v="5.9"/>
    <x v="0"/>
    <x v="0"/>
    <n v="1000"/>
    <n v="5900"/>
    <n v="1000"/>
    <n v="5900"/>
    <n v="10.526315789473685"/>
    <n v="73.75"/>
    <n v="63.223684210526315"/>
  </r>
  <r>
    <s v="132"/>
    <x v="28"/>
    <x v="0"/>
    <x v="21"/>
    <x v="17"/>
    <x v="16"/>
    <x v="4"/>
    <x v="4"/>
    <n v="2"/>
    <n v="3.6"/>
    <x v="0"/>
    <x v="0"/>
    <n v="2000"/>
    <n v="3600"/>
    <n v="2000"/>
    <n v="3600"/>
    <n v="21.05263157894737"/>
    <n v="45"/>
    <n v="23.94736842105263"/>
  </r>
  <r>
    <s v="133"/>
    <x v="29"/>
    <x v="0"/>
    <x v="0"/>
    <x v="1"/>
    <x v="17"/>
    <x v="4"/>
    <x v="4"/>
    <n v="5.5"/>
    <n v="12"/>
    <x v="0"/>
    <x v="0"/>
    <n v="5500"/>
    <n v="12000"/>
    <n v="5500"/>
    <n v="12000"/>
    <n v="57.89473684210526"/>
    <n v="150"/>
    <n v="92.10526315789474"/>
  </r>
  <r>
    <s v="134"/>
    <x v="30"/>
    <x v="0"/>
    <x v="4"/>
    <x v="1"/>
    <x v="18"/>
    <x v="4"/>
    <x v="4"/>
    <n v="1.8"/>
    <n v="6.5"/>
    <x v="0"/>
    <x v="0"/>
    <n v="1800"/>
    <n v="6500"/>
    <n v="1800"/>
    <n v="6500"/>
    <n v="18.94736842105263"/>
    <n v="81.25"/>
    <n v="62.30263157894737"/>
  </r>
  <r>
    <s v="135"/>
    <x v="31"/>
    <x v="0"/>
    <x v="0"/>
    <x v="14"/>
    <x v="19"/>
    <x v="1"/>
    <x v="1"/>
    <n v="250"/>
    <n v="3409"/>
    <x v="1"/>
    <x v="0"/>
    <n v="250"/>
    <n v="3409"/>
    <n v="250"/>
    <n v="3409"/>
    <n v="2.6315789473684212"/>
    <n v="42.612499999999997"/>
    <n v="39.980921052631572"/>
  </r>
  <r>
    <s v="136"/>
    <x v="32"/>
    <x v="0"/>
    <x v="4"/>
    <x v="15"/>
    <x v="20"/>
    <x v="1"/>
    <x v="1"/>
    <n v="900"/>
    <n v="11690"/>
    <x v="1"/>
    <x v="0"/>
    <n v="900"/>
    <n v="11690"/>
    <n v="900"/>
    <n v="11690"/>
    <n v="9.473684210526315"/>
    <n v="146.125"/>
    <n v="136.6513157894737"/>
  </r>
  <r>
    <s v="137"/>
    <x v="33"/>
    <x v="1"/>
    <x v="22"/>
    <x v="18"/>
    <x v="5"/>
    <x v="2"/>
    <x v="2"/>
    <n v="216.7"/>
    <n v="370.6"/>
    <x v="1"/>
    <x v="1"/>
    <n v="216.7"/>
    <n v="370.6"/>
    <n v="20586.5"/>
    <n v="35207"/>
    <n v="216.7"/>
    <n v="370.6"/>
    <n v="153.90000000000003"/>
  </r>
  <r>
    <s v="138"/>
    <x v="34"/>
    <x v="1"/>
    <x v="8"/>
    <x v="10"/>
    <x v="5"/>
    <x v="2"/>
    <x v="2"/>
    <n v="177"/>
    <n v="714.4"/>
    <x v="1"/>
    <x v="1"/>
    <n v="177"/>
    <n v="714.4"/>
    <n v="16815"/>
    <n v="67868"/>
    <n v="177"/>
    <n v="714.4"/>
    <n v="537.4"/>
  </r>
  <r>
    <s v="139"/>
    <x v="35"/>
    <x v="0"/>
    <x v="17"/>
    <x v="19"/>
    <x v="20"/>
    <x v="1"/>
    <x v="1"/>
    <n v="1.8"/>
    <n v="3.1"/>
    <x v="0"/>
    <x v="0"/>
    <n v="1800"/>
    <n v="3100"/>
    <n v="1800"/>
    <n v="3100"/>
    <n v="18.94736842105263"/>
    <n v="38.75"/>
    <n v="19.80263157894737"/>
  </r>
  <r>
    <s v="140"/>
    <x v="36"/>
    <x v="0"/>
    <x v="21"/>
    <x v="0"/>
    <x v="3"/>
    <x v="1"/>
    <x v="1"/>
    <n v="500"/>
    <n v="950"/>
    <x v="1"/>
    <x v="0"/>
    <n v="500"/>
    <n v="950"/>
    <n v="500"/>
    <n v="950"/>
    <n v="5.2631578947368425"/>
    <n v="11.875"/>
    <n v="6.6118421052631575"/>
  </r>
  <r>
    <s v="106"/>
    <x v="37"/>
    <x v="0"/>
    <x v="23"/>
    <x v="15"/>
    <x v="21"/>
    <x v="1"/>
    <x v="1"/>
    <m/>
    <m/>
    <x v="2"/>
    <x v="2"/>
    <m/>
    <m/>
    <m/>
    <m/>
    <m/>
    <m/>
    <m/>
  </r>
  <r>
    <s v="112"/>
    <x v="38"/>
    <x v="1"/>
    <x v="24"/>
    <x v="20"/>
    <x v="7"/>
    <x v="2"/>
    <x v="2"/>
    <m/>
    <m/>
    <x v="2"/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A4A43-BE25-4B4E-8079-7E6CE26DCC0A}" name="MovieSales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E46" firstHeaderRow="0" firstDataRow="1" firstDataCol="1"/>
  <pivotFields count="19">
    <pivotField showAll="0"/>
    <pivotField axis="axisRow" showAll="0" sortType="descending">
      <items count="40">
        <item x="2"/>
        <item x="15"/>
        <item x="21"/>
        <item x="22"/>
        <item x="30"/>
        <item x="4"/>
        <item x="32"/>
        <item x="33"/>
        <item x="34"/>
        <item x="1"/>
        <item x="5"/>
        <item x="12"/>
        <item x="38"/>
        <item x="10"/>
        <item x="14"/>
        <item x="19"/>
        <item x="0"/>
        <item x="3"/>
        <item x="25"/>
        <item x="20"/>
        <item x="23"/>
        <item x="26"/>
        <item x="28"/>
        <item x="35"/>
        <item x="29"/>
        <item x="27"/>
        <item x="18"/>
        <item x="36"/>
        <item x="37"/>
        <item x="24"/>
        <item x="17"/>
        <item x="16"/>
        <item x="31"/>
        <item x="11"/>
        <item x="9"/>
        <item x="8"/>
        <item x="7"/>
        <item x="6"/>
        <item x="1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2">
    <field x="2"/>
    <field x="1"/>
  </rowFields>
  <rowItems count="42">
    <i>
      <x v="1"/>
    </i>
    <i r="1">
      <x v="1"/>
    </i>
    <i r="1">
      <x v="2"/>
    </i>
    <i r="1">
      <x v="38"/>
    </i>
    <i r="1">
      <x v="3"/>
    </i>
    <i r="1">
      <x v="15"/>
    </i>
    <i r="1">
      <x v="30"/>
    </i>
    <i r="1">
      <x v="10"/>
    </i>
    <i r="1">
      <x v="36"/>
    </i>
    <i r="1">
      <x v="8"/>
    </i>
    <i r="1">
      <x v="13"/>
    </i>
    <i r="1">
      <x v="37"/>
    </i>
    <i r="1">
      <x v="35"/>
    </i>
    <i r="1">
      <x v="11"/>
    </i>
    <i r="1">
      <x v="26"/>
    </i>
    <i r="1">
      <x v="31"/>
    </i>
    <i r="1">
      <x v="33"/>
    </i>
    <i r="1">
      <x v="19"/>
    </i>
    <i r="1">
      <x v="7"/>
    </i>
    <i r="1">
      <x v="34"/>
    </i>
    <i r="1">
      <x v="14"/>
    </i>
    <i r="1">
      <x v="12"/>
    </i>
    <i>
      <x/>
    </i>
    <i r="1">
      <x v="16"/>
    </i>
    <i r="1">
      <x v="6"/>
    </i>
    <i r="1">
      <x v="21"/>
    </i>
    <i r="1">
      <x v="24"/>
    </i>
    <i r="1">
      <x v="25"/>
    </i>
    <i r="1">
      <x v="4"/>
    </i>
    <i r="1">
      <x/>
    </i>
    <i r="1">
      <x v="32"/>
    </i>
    <i r="1">
      <x v="5"/>
    </i>
    <i r="1">
      <x v="22"/>
    </i>
    <i r="1">
      <x v="9"/>
    </i>
    <i r="1">
      <x v="23"/>
    </i>
    <i r="1">
      <x v="29"/>
    </i>
    <i r="1">
      <x v="17"/>
    </i>
    <i r="1">
      <x v="27"/>
    </i>
    <i r="1">
      <x v="18"/>
    </i>
    <i r="1">
      <x v="20"/>
    </i>
    <i r="1"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udget USD Mln" fld="16" baseField="1" baseItem="6" numFmtId="164"/>
    <dataField name="Revenue USD Mln" fld="17" baseField="1" baseItem="6" numFmtId="164"/>
    <dataField name="Profit USD Mln" fld="18" baseField="1" baseItem="6" numFmtId="164"/>
    <dataField name="IMDB Rating" fld="4" subtotal="average" baseField="1" baseItem="6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6BD79-18B8-43D6-9698-D80459FDBF69}" name="PivotTable3" cacheId="120" applyNumberFormats="0" applyBorderFormats="0" applyFontFormats="0" applyPatternFormats="0" applyAlignmentFormats="0" applyWidthHeightFormats="1" dataCaption="Values" tag="2367762d-60fa-4be2-9a8d-2a78e4dc7ef1" updatedVersion="8" minRefreshableVersion="3" useAutoFormatting="1" subtotalHiddenItems="1" itemPrintTitles="1" createdVersion="8" indent="0" outline="1" outlineData="1" multipleFieldFilters="0" rowHeaderCaption="">
  <location ref="A3:I26" firstHeaderRow="0" firstDataRow="1" firstDataCol="1"/>
  <pivotFields count="10">
    <pivotField axis="axisRow" allDrilled="1" showAll="0" dataSourceSort="1" defaultAttributeDrillState="1">
      <items count="2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0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</dataField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</conditionalFormats>
  <pivotHierarchies count="33">
    <pivotHierarchy dragToData="1"/>
    <pivotHierarchy dragToData="1"/>
    <pivotHierarchy dragToData="1"/>
    <pivotHierarchy dragToData="1"/>
    <pivotHierarchy dragToData="1"/>
    <pivotHierarchy dragToData="1">
      <members count="21" level="1">
        <member name=""/>
        <member name=""/>
        <member name=""/>
        <member name=""/>
        <member name=""/>
        <member name=""/>
        <member name=""/>
        <member name=""/>
        <member name="[SalesPnL].[studio].&amp;[United Producer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PnL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G42" totalsRowShown="0" headerRowDxfId="6">
  <autoFilter ref="A1:G42" xr:uid="{6A7FE39D-5614-4A7F-89B7-C167ABC0A251}"/>
  <tableColumns count="7">
    <tableColumn id="1" xr3:uid="{5E453F0D-B27C-433C-BF11-BA3FE1A6822E}" name="movie_id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2" xr3:uid="{C0CD5860-C1A1-4B0F-957D-6E2C229B9506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5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4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3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2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798A89-CF26-479D-99B6-879D2B0CAA65}" name="target" displayName="target" ref="A1:B21" totalsRowShown="0">
  <autoFilter ref="A1:B21" xr:uid="{D8798A89-CF26-479D-99B6-879D2B0CAA65}"/>
  <tableColumns count="2">
    <tableColumn id="1" xr3:uid="{F32EA802-4F56-41B4-AC12-AC302CAA00F3}" name="studio"/>
    <tableColumn id="3" xr3:uid="{8212FC95-DC2E-4CCB-AF2F-338C2F587302}" name="targe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7CBB-C8C5-4D2C-9DE6-8EBF96E9825F}">
  <sheetPr codeName="Sheet1"/>
  <dimension ref="A1:E46"/>
  <sheetViews>
    <sheetView showGridLines="0" workbookViewId="0">
      <selection activeCell="A8" sqref="A8"/>
    </sheetView>
  </sheetViews>
  <sheetFormatPr defaultRowHeight="14.4" x14ac:dyDescent="0.3"/>
  <cols>
    <col min="1" max="1" width="41.88671875" bestFit="1" customWidth="1"/>
    <col min="2" max="2" width="14.88671875" bestFit="1" customWidth="1"/>
    <col min="3" max="3" width="16.21875" bestFit="1" customWidth="1"/>
    <col min="4" max="4" width="13.5546875" bestFit="1" customWidth="1"/>
    <col min="5" max="5" width="11.44140625" bestFit="1" customWidth="1"/>
    <col min="6" max="6" width="24.21875" bestFit="1" customWidth="1"/>
    <col min="7" max="7" width="13.44140625" bestFit="1" customWidth="1"/>
    <col min="8" max="8" width="10.88671875" bestFit="1" customWidth="1"/>
    <col min="9" max="9" width="9.21875" bestFit="1" customWidth="1"/>
    <col min="10" max="10" width="10.109375" bestFit="1" customWidth="1"/>
    <col min="11" max="11" width="7.33203125" bestFit="1" customWidth="1"/>
    <col min="12" max="12" width="10.5546875" bestFit="1" customWidth="1"/>
    <col min="13" max="13" width="12.88671875" bestFit="1" customWidth="1"/>
    <col min="14" max="14" width="13.77734375" bestFit="1" customWidth="1"/>
    <col min="15" max="15" width="12.6640625" bestFit="1" customWidth="1"/>
    <col min="16" max="16" width="13.5546875" bestFit="1" customWidth="1"/>
    <col min="17" max="17" width="13.21875" bestFit="1" customWidth="1"/>
    <col min="18" max="18" width="14.109375" bestFit="1" customWidth="1"/>
  </cols>
  <sheetData>
    <row r="1" spans="1:5" ht="15.6" x14ac:dyDescent="0.3">
      <c r="A1" s="10" t="s">
        <v>207</v>
      </c>
      <c r="B1" s="11"/>
      <c r="C1" s="11"/>
      <c r="D1" s="11"/>
    </row>
    <row r="4" spans="1:5" x14ac:dyDescent="0.3">
      <c r="A4" s="3" t="s">
        <v>202</v>
      </c>
      <c r="B4" t="s">
        <v>205</v>
      </c>
      <c r="C4" t="s">
        <v>206</v>
      </c>
      <c r="D4" t="s">
        <v>208</v>
      </c>
      <c r="E4" t="s">
        <v>204</v>
      </c>
    </row>
    <row r="5" spans="1:5" x14ac:dyDescent="0.3">
      <c r="A5" s="4" t="s">
        <v>7</v>
      </c>
      <c r="B5" s="6">
        <v>3069.58</v>
      </c>
      <c r="C5" s="6">
        <v>18577.899999999998</v>
      </c>
      <c r="D5" s="6">
        <v>15508.319999999998</v>
      </c>
      <c r="E5" s="7">
        <v>8.1619047619047631</v>
      </c>
    </row>
    <row r="6" spans="1:5" x14ac:dyDescent="0.3">
      <c r="A6" s="5" t="s">
        <v>173</v>
      </c>
      <c r="B6" s="6">
        <v>237</v>
      </c>
      <c r="C6" s="6">
        <v>2847</v>
      </c>
      <c r="D6" s="6">
        <v>2610</v>
      </c>
      <c r="E6" s="7">
        <v>7.8</v>
      </c>
    </row>
    <row r="7" spans="1:5" x14ac:dyDescent="0.3">
      <c r="A7" s="5" t="s">
        <v>179</v>
      </c>
      <c r="B7" s="6">
        <v>400</v>
      </c>
      <c r="C7" s="6">
        <v>2798</v>
      </c>
      <c r="D7" s="6">
        <v>2398</v>
      </c>
      <c r="E7" s="7">
        <v>8.4</v>
      </c>
    </row>
    <row r="8" spans="1:5" x14ac:dyDescent="0.3">
      <c r="A8" s="5" t="s">
        <v>171</v>
      </c>
      <c r="B8" s="6">
        <v>200</v>
      </c>
      <c r="C8" s="6">
        <v>2202</v>
      </c>
      <c r="D8" s="6">
        <v>2002</v>
      </c>
      <c r="E8" s="7">
        <v>7.9</v>
      </c>
    </row>
    <row r="9" spans="1:5" x14ac:dyDescent="0.3">
      <c r="A9" s="5" t="s">
        <v>180</v>
      </c>
      <c r="B9" s="6">
        <v>400</v>
      </c>
      <c r="C9" s="6">
        <v>2048</v>
      </c>
      <c r="D9" s="6">
        <v>1648</v>
      </c>
      <c r="E9" s="7">
        <v>8.4</v>
      </c>
    </row>
    <row r="10" spans="1:5" x14ac:dyDescent="0.3">
      <c r="A10" s="5" t="s">
        <v>177</v>
      </c>
      <c r="B10" s="6">
        <v>63</v>
      </c>
      <c r="C10" s="6">
        <v>1046</v>
      </c>
      <c r="D10" s="6">
        <v>983</v>
      </c>
      <c r="E10" s="7">
        <v>8.1999999999999993</v>
      </c>
    </row>
    <row r="11" spans="1:5" x14ac:dyDescent="0.3">
      <c r="A11" s="5" t="s">
        <v>175</v>
      </c>
      <c r="B11" s="6">
        <v>185</v>
      </c>
      <c r="C11" s="6">
        <v>1006</v>
      </c>
      <c r="D11" s="6">
        <v>821</v>
      </c>
      <c r="E11" s="7">
        <v>9</v>
      </c>
    </row>
    <row r="12" spans="1:5" x14ac:dyDescent="0.3">
      <c r="A12" s="5" t="s">
        <v>163</v>
      </c>
      <c r="B12" s="6">
        <v>200</v>
      </c>
      <c r="C12" s="6">
        <v>954.8</v>
      </c>
      <c r="D12" s="6">
        <v>754.8</v>
      </c>
      <c r="E12" s="7">
        <v>7</v>
      </c>
    </row>
    <row r="13" spans="1:5" x14ac:dyDescent="0.3">
      <c r="A13" s="5" t="s">
        <v>197</v>
      </c>
      <c r="B13" s="6">
        <v>180</v>
      </c>
      <c r="C13" s="6">
        <v>854</v>
      </c>
      <c r="D13" s="6">
        <v>674</v>
      </c>
      <c r="E13" s="7">
        <v>7.9</v>
      </c>
    </row>
    <row r="14" spans="1:5" x14ac:dyDescent="0.3">
      <c r="A14" s="5" t="s">
        <v>193</v>
      </c>
      <c r="B14" s="6">
        <v>177</v>
      </c>
      <c r="C14" s="6">
        <v>714.4</v>
      </c>
      <c r="D14" s="6">
        <v>537.4</v>
      </c>
      <c r="E14" s="7">
        <v>7.8</v>
      </c>
    </row>
    <row r="15" spans="1:5" x14ac:dyDescent="0.3">
      <c r="A15" s="5" t="s">
        <v>168</v>
      </c>
      <c r="B15" s="6">
        <v>165</v>
      </c>
      <c r="C15" s="6">
        <v>701.8</v>
      </c>
      <c r="D15" s="6">
        <v>536.79999999999995</v>
      </c>
      <c r="E15" s="7">
        <v>8.6</v>
      </c>
    </row>
    <row r="16" spans="1:5" x14ac:dyDescent="0.3">
      <c r="A16" s="5" t="s">
        <v>196</v>
      </c>
      <c r="B16" s="6">
        <v>165</v>
      </c>
      <c r="C16" s="6">
        <v>644.79999999999995</v>
      </c>
      <c r="D16" s="6">
        <v>479.79999999999995</v>
      </c>
      <c r="E16" s="7">
        <v>6.8</v>
      </c>
    </row>
    <row r="17" spans="1:5" x14ac:dyDescent="0.3">
      <c r="A17" s="5" t="s">
        <v>198</v>
      </c>
      <c r="B17" s="6">
        <v>250</v>
      </c>
      <c r="C17" s="6">
        <v>670</v>
      </c>
      <c r="D17" s="6">
        <v>420</v>
      </c>
      <c r="E17" s="7">
        <v>6.8</v>
      </c>
    </row>
    <row r="18" spans="1:5" x14ac:dyDescent="0.3">
      <c r="A18" s="5" t="s">
        <v>170</v>
      </c>
      <c r="B18" s="6">
        <v>103</v>
      </c>
      <c r="C18" s="6">
        <v>460.5</v>
      </c>
      <c r="D18" s="6">
        <v>357.5</v>
      </c>
      <c r="E18" s="7">
        <v>8.5</v>
      </c>
    </row>
    <row r="19" spans="1:5" x14ac:dyDescent="0.3">
      <c r="A19" s="5" t="s">
        <v>176</v>
      </c>
      <c r="B19" s="6">
        <v>22</v>
      </c>
      <c r="C19" s="6">
        <v>322.2</v>
      </c>
      <c r="D19" s="6">
        <v>300.2</v>
      </c>
      <c r="E19" s="7">
        <v>9</v>
      </c>
    </row>
    <row r="20" spans="1:5" x14ac:dyDescent="0.3">
      <c r="A20" s="5" t="s">
        <v>174</v>
      </c>
      <c r="B20" s="6">
        <v>7.2</v>
      </c>
      <c r="C20" s="6">
        <v>291</v>
      </c>
      <c r="D20" s="6">
        <v>283.8</v>
      </c>
      <c r="E20" s="7">
        <v>9.1999999999999993</v>
      </c>
    </row>
    <row r="21" spans="1:5" x14ac:dyDescent="0.3">
      <c r="A21" s="5" t="s">
        <v>169</v>
      </c>
      <c r="B21" s="6">
        <v>55</v>
      </c>
      <c r="C21" s="6">
        <v>307.10000000000002</v>
      </c>
      <c r="D21" s="6">
        <v>252.10000000000002</v>
      </c>
      <c r="E21" s="7">
        <v>8</v>
      </c>
    </row>
    <row r="22" spans="1:5" x14ac:dyDescent="0.3">
      <c r="A22" s="5" t="s">
        <v>178</v>
      </c>
      <c r="B22" s="6">
        <v>15.5</v>
      </c>
      <c r="C22" s="6">
        <v>263.10000000000002</v>
      </c>
      <c r="D22" s="6">
        <v>247.60000000000002</v>
      </c>
      <c r="E22" s="7">
        <v>8.5</v>
      </c>
    </row>
    <row r="23" spans="1:5" x14ac:dyDescent="0.3">
      <c r="A23" s="5" t="s">
        <v>192</v>
      </c>
      <c r="B23" s="6">
        <v>216.7</v>
      </c>
      <c r="C23" s="6">
        <v>370.6</v>
      </c>
      <c r="D23" s="6">
        <v>153.90000000000003</v>
      </c>
      <c r="E23" s="7">
        <v>6.9</v>
      </c>
    </row>
    <row r="24" spans="1:5" x14ac:dyDescent="0.3">
      <c r="A24" s="5" t="s">
        <v>201</v>
      </c>
      <c r="B24" s="6">
        <v>25</v>
      </c>
      <c r="C24" s="6">
        <v>73.3</v>
      </c>
      <c r="D24" s="6">
        <v>48.3</v>
      </c>
      <c r="E24" s="7">
        <v>9.3000000000000007</v>
      </c>
    </row>
    <row r="25" spans="1:5" x14ac:dyDescent="0.3">
      <c r="A25" s="5" t="s">
        <v>172</v>
      </c>
      <c r="B25" s="6">
        <v>3.18</v>
      </c>
      <c r="C25" s="6">
        <v>3.3</v>
      </c>
      <c r="D25" s="6">
        <v>0.11999999999999966</v>
      </c>
      <c r="E25" s="7">
        <v>8.6</v>
      </c>
    </row>
    <row r="26" spans="1:5" x14ac:dyDescent="0.3">
      <c r="A26" s="5" t="s">
        <v>167</v>
      </c>
      <c r="B26" s="6"/>
      <c r="C26" s="6"/>
      <c r="D26" s="6"/>
      <c r="E26" s="7">
        <v>8.8000000000000007</v>
      </c>
    </row>
    <row r="27" spans="1:5" x14ac:dyDescent="0.3">
      <c r="A27" s="4" t="s">
        <v>6</v>
      </c>
      <c r="B27" s="6">
        <v>196.10526315789477</v>
      </c>
      <c r="C27" s="6">
        <v>1011.3625</v>
      </c>
      <c r="D27" s="6">
        <v>815.25723684210516</v>
      </c>
      <c r="E27" s="7">
        <v>7.6823529411764699</v>
      </c>
    </row>
    <row r="28" spans="1:5" x14ac:dyDescent="0.3">
      <c r="A28" s="5" t="s">
        <v>161</v>
      </c>
      <c r="B28" s="6">
        <v>10.526315789473685</v>
      </c>
      <c r="C28" s="6">
        <v>156.25</v>
      </c>
      <c r="D28" s="6">
        <v>145.7236842105263</v>
      </c>
      <c r="E28" s="7">
        <v>8.4</v>
      </c>
    </row>
    <row r="29" spans="1:5" x14ac:dyDescent="0.3">
      <c r="A29" s="5" t="s">
        <v>191</v>
      </c>
      <c r="B29" s="6">
        <v>9.473684210526315</v>
      </c>
      <c r="C29" s="6">
        <v>146.125</v>
      </c>
      <c r="D29" s="6">
        <v>136.6513157894737</v>
      </c>
      <c r="E29" s="7">
        <v>8.1</v>
      </c>
    </row>
    <row r="30" spans="1:5" x14ac:dyDescent="0.3">
      <c r="A30" s="5" t="s">
        <v>185</v>
      </c>
      <c r="B30" s="6">
        <v>8.9473684210526319</v>
      </c>
      <c r="C30" s="6">
        <v>106.75</v>
      </c>
      <c r="D30" s="6">
        <v>97.80263157894737</v>
      </c>
      <c r="E30" s="7">
        <v>8.1</v>
      </c>
    </row>
    <row r="31" spans="1:5" x14ac:dyDescent="0.3">
      <c r="A31" s="5" t="s">
        <v>188</v>
      </c>
      <c r="B31" s="6">
        <v>57.89473684210526</v>
      </c>
      <c r="C31" s="6">
        <v>150</v>
      </c>
      <c r="D31" s="6">
        <v>92.10526315789474</v>
      </c>
      <c r="E31" s="7">
        <v>8</v>
      </c>
    </row>
    <row r="32" spans="1:5" x14ac:dyDescent="0.3">
      <c r="A32" s="5" t="s">
        <v>186</v>
      </c>
      <c r="B32" s="6">
        <v>10.526315789473685</v>
      </c>
      <c r="C32" s="6">
        <v>73.75</v>
      </c>
      <c r="D32" s="6">
        <v>63.223684210526315</v>
      </c>
      <c r="E32" s="7"/>
    </row>
    <row r="33" spans="1:5" x14ac:dyDescent="0.3">
      <c r="A33" s="5" t="s">
        <v>189</v>
      </c>
      <c r="B33" s="6">
        <v>18.94736842105263</v>
      </c>
      <c r="C33" s="6">
        <v>81.25</v>
      </c>
      <c r="D33" s="6">
        <v>62.30263157894737</v>
      </c>
      <c r="E33" s="7">
        <v>8</v>
      </c>
    </row>
    <row r="34" spans="1:5" x14ac:dyDescent="0.3">
      <c r="A34" s="5" t="s">
        <v>199</v>
      </c>
      <c r="B34" s="6">
        <v>5.7894736842105265</v>
      </c>
      <c r="C34" s="6">
        <v>50</v>
      </c>
      <c r="D34" s="6">
        <v>44.210526315789473</v>
      </c>
      <c r="E34" s="7">
        <v>8.4</v>
      </c>
    </row>
    <row r="35" spans="1:5" x14ac:dyDescent="0.3">
      <c r="A35" s="5" t="s">
        <v>190</v>
      </c>
      <c r="B35" s="6">
        <v>2.6315789473684212</v>
      </c>
      <c r="C35" s="6">
        <v>42.612499999999997</v>
      </c>
      <c r="D35" s="6">
        <v>39.980921052631572</v>
      </c>
      <c r="E35" s="7">
        <v>8.3000000000000007</v>
      </c>
    </row>
    <row r="36" spans="1:5" x14ac:dyDescent="0.3">
      <c r="A36" s="5" t="s">
        <v>200</v>
      </c>
      <c r="B36" s="6">
        <v>14.736842105263158</v>
      </c>
      <c r="C36" s="6">
        <v>43.75</v>
      </c>
      <c r="D36" s="6">
        <v>29.013157894736842</v>
      </c>
      <c r="E36" s="7">
        <v>7.2</v>
      </c>
    </row>
    <row r="37" spans="1:5" x14ac:dyDescent="0.3">
      <c r="A37" s="5" t="s">
        <v>187</v>
      </c>
      <c r="B37" s="6">
        <v>21.05263157894737</v>
      </c>
      <c r="C37" s="6">
        <v>45</v>
      </c>
      <c r="D37" s="6">
        <v>23.94736842105263</v>
      </c>
      <c r="E37" s="7">
        <v>7.6</v>
      </c>
    </row>
    <row r="38" spans="1:5" x14ac:dyDescent="0.3">
      <c r="A38" s="5" t="s">
        <v>165</v>
      </c>
      <c r="B38" s="6">
        <v>4.2105263157894735</v>
      </c>
      <c r="C38" s="6">
        <v>25</v>
      </c>
      <c r="D38" s="6">
        <v>20.789473684210527</v>
      </c>
      <c r="E38" s="7">
        <v>8</v>
      </c>
    </row>
    <row r="39" spans="1:5" x14ac:dyDescent="0.3">
      <c r="A39" s="5" t="s">
        <v>194</v>
      </c>
      <c r="B39" s="6">
        <v>18.94736842105263</v>
      </c>
      <c r="C39" s="6">
        <v>38.75</v>
      </c>
      <c r="D39" s="6">
        <v>19.80263157894737</v>
      </c>
      <c r="E39" s="7">
        <v>1.9</v>
      </c>
    </row>
    <row r="40" spans="1:5" x14ac:dyDescent="0.3">
      <c r="A40" s="5" t="s">
        <v>183</v>
      </c>
      <c r="B40" s="6">
        <v>1.263157894736842</v>
      </c>
      <c r="C40" s="6">
        <v>16.875</v>
      </c>
      <c r="D40" s="6">
        <v>15.611842105263158</v>
      </c>
      <c r="E40" s="7">
        <v>8.3000000000000007</v>
      </c>
    </row>
    <row r="41" spans="1:5" x14ac:dyDescent="0.3">
      <c r="A41" s="5" t="s">
        <v>166</v>
      </c>
      <c r="B41" s="6">
        <v>4.1052631578947372</v>
      </c>
      <c r="C41" s="6">
        <v>17</v>
      </c>
      <c r="D41" s="6">
        <v>12.894736842105264</v>
      </c>
      <c r="E41" s="7">
        <v>7.4</v>
      </c>
    </row>
    <row r="42" spans="1:5" x14ac:dyDescent="0.3">
      <c r="A42" s="5" t="s">
        <v>195</v>
      </c>
      <c r="B42" s="6">
        <v>5.2631578947368425</v>
      </c>
      <c r="C42" s="6">
        <v>11.875</v>
      </c>
      <c r="D42" s="6">
        <v>6.6118421052631575</v>
      </c>
      <c r="E42" s="7">
        <v>8.4</v>
      </c>
    </row>
    <row r="43" spans="1:5" x14ac:dyDescent="0.3">
      <c r="A43" s="5" t="s">
        <v>184</v>
      </c>
      <c r="B43" s="6">
        <v>1.0526315789473684</v>
      </c>
      <c r="C43" s="6">
        <v>5.125</v>
      </c>
      <c r="D43" s="6">
        <v>4.0723684210526319</v>
      </c>
      <c r="E43" s="7">
        <v>8.1</v>
      </c>
    </row>
    <row r="44" spans="1:5" x14ac:dyDescent="0.3">
      <c r="A44" s="5" t="s">
        <v>181</v>
      </c>
      <c r="B44" s="6">
        <v>0.73684210526315785</v>
      </c>
      <c r="C44" s="6">
        <v>1.25</v>
      </c>
      <c r="D44" s="6">
        <v>0.51315789473684215</v>
      </c>
      <c r="E44" s="7">
        <v>8.3000000000000007</v>
      </c>
    </row>
    <row r="45" spans="1:5" x14ac:dyDescent="0.3">
      <c r="A45" s="5" t="s">
        <v>164</v>
      </c>
      <c r="B45" s="6"/>
      <c r="C45" s="6"/>
      <c r="D45" s="6"/>
      <c r="E45" s="7">
        <v>8.1</v>
      </c>
    </row>
    <row r="46" spans="1:5" x14ac:dyDescent="0.3">
      <c r="A46" s="4" t="s">
        <v>203</v>
      </c>
      <c r="B46" s="6">
        <v>3265.6852631578945</v>
      </c>
      <c r="C46" s="6">
        <v>19589.262499999997</v>
      </c>
      <c r="D46" s="6">
        <v>16323.577236842104</v>
      </c>
      <c r="E46" s="7">
        <v>7.9473684210526319</v>
      </c>
    </row>
  </sheetData>
  <mergeCells count="1">
    <mergeCell ref="A1:D1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2773-000C-461B-833E-C6704D05B6E7}">
  <sheetPr codeName="Sheet2"/>
  <dimension ref="A1:I26"/>
  <sheetViews>
    <sheetView showGridLines="0" tabSelected="1" zoomScaleNormal="100" workbookViewId="0">
      <selection activeCell="K9" sqref="K9"/>
    </sheetView>
  </sheetViews>
  <sheetFormatPr defaultRowHeight="14.4" x14ac:dyDescent="0.3"/>
  <cols>
    <col min="1" max="1" width="28.33203125" bestFit="1" customWidth="1"/>
    <col min="2" max="2" width="17.21875" bestFit="1" customWidth="1"/>
    <col min="3" max="3" width="16.21875" bestFit="1" customWidth="1"/>
    <col min="4" max="4" width="10.109375" bestFit="1" customWidth="1"/>
    <col min="5" max="5" width="9" bestFit="1" customWidth="1"/>
    <col min="6" max="6" width="10" bestFit="1" customWidth="1"/>
    <col min="7" max="7" width="11.109375" bestFit="1" customWidth="1"/>
    <col min="8" max="8" width="19.33203125" bestFit="1" customWidth="1"/>
    <col min="9" max="9" width="16" bestFit="1" customWidth="1"/>
  </cols>
  <sheetData>
    <row r="1" spans="1:9" ht="15.6" x14ac:dyDescent="0.3">
      <c r="A1" s="10" t="s">
        <v>209</v>
      </c>
      <c r="B1" s="10"/>
      <c r="C1" s="10"/>
      <c r="D1" s="10"/>
      <c r="E1" s="10"/>
      <c r="F1" s="10"/>
      <c r="G1" s="10"/>
      <c r="H1" s="10"/>
      <c r="I1" s="10"/>
    </row>
    <row r="3" spans="1:9" x14ac:dyDescent="0.3">
      <c r="A3" s="3" t="s">
        <v>219</v>
      </c>
      <c r="B3" t="s">
        <v>212</v>
      </c>
      <c r="C3" t="s">
        <v>213</v>
      </c>
      <c r="D3" t="s">
        <v>214</v>
      </c>
      <c r="E3" t="s">
        <v>215</v>
      </c>
      <c r="F3" t="s">
        <v>211</v>
      </c>
      <c r="G3" t="s">
        <v>216</v>
      </c>
      <c r="H3" t="s">
        <v>217</v>
      </c>
      <c r="I3" t="s">
        <v>218</v>
      </c>
    </row>
    <row r="4" spans="1:9" x14ac:dyDescent="0.3">
      <c r="A4" s="4" t="s">
        <v>6</v>
      </c>
      <c r="B4" s="9">
        <v>950.73749999999995</v>
      </c>
      <c r="C4" s="9">
        <v>180.10526315789474</v>
      </c>
      <c r="D4" s="9">
        <v>770.63223684210516</v>
      </c>
      <c r="E4" s="8">
        <v>4.2787879894798353</v>
      </c>
      <c r="F4" s="9">
        <v>166.43377999999998</v>
      </c>
      <c r="G4" s="9">
        <v>657.30562699999996</v>
      </c>
      <c r="H4" s="9">
        <v>113.3266098421052</v>
      </c>
      <c r="I4" s="8">
        <v>0.1724108317151303</v>
      </c>
    </row>
    <row r="5" spans="1:9" x14ac:dyDescent="0.3">
      <c r="A5" s="5" t="s">
        <v>25</v>
      </c>
      <c r="B5" s="9">
        <v>81.25</v>
      </c>
      <c r="C5" s="9">
        <v>18.94736842105263</v>
      </c>
      <c r="D5" s="9">
        <v>62.30263157894737</v>
      </c>
      <c r="E5" s="8">
        <v>3.2881944444444446</v>
      </c>
      <c r="F5" s="9">
        <v>42.7273</v>
      </c>
      <c r="G5" s="9">
        <v>42.7273</v>
      </c>
      <c r="H5" s="9">
        <v>19.57533157894737</v>
      </c>
      <c r="I5" s="8">
        <v>0.45814576579721561</v>
      </c>
    </row>
    <row r="6" spans="1:9" x14ac:dyDescent="0.3">
      <c r="A6" s="5" t="s">
        <v>12</v>
      </c>
      <c r="B6" s="9">
        <v>28.875</v>
      </c>
      <c r="C6" s="9">
        <v>9.3684210526315788</v>
      </c>
      <c r="D6" s="9">
        <v>19.506578947368421</v>
      </c>
      <c r="E6" s="8">
        <v>2.0821629213483148</v>
      </c>
      <c r="F6" s="9">
        <v>12.171456000000001</v>
      </c>
      <c r="G6" s="9">
        <v>12.171456000000001</v>
      </c>
      <c r="H6" s="9">
        <v>7.3351229473684203</v>
      </c>
      <c r="I6" s="8">
        <v>0.60264958829645521</v>
      </c>
    </row>
    <row r="7" spans="1:9" x14ac:dyDescent="0.3">
      <c r="A7" s="5" t="s">
        <v>24</v>
      </c>
      <c r="B7" s="9">
        <v>150</v>
      </c>
      <c r="C7" s="9">
        <v>57.89473684210526</v>
      </c>
      <c r="D7" s="9">
        <v>92.10526315789474</v>
      </c>
      <c r="E7" s="8">
        <v>1.5909090909090911</v>
      </c>
      <c r="F7" s="9">
        <v>54.870139999999999</v>
      </c>
      <c r="G7" s="9">
        <v>54.870139999999999</v>
      </c>
      <c r="H7" s="9">
        <v>37.235123157894741</v>
      </c>
      <c r="I7" s="8">
        <v>0.67860448611749014</v>
      </c>
    </row>
    <row r="8" spans="1:9" x14ac:dyDescent="0.3">
      <c r="A8" s="5" t="s">
        <v>182</v>
      </c>
      <c r="B8" s="9">
        <v>1.25</v>
      </c>
      <c r="C8" s="9">
        <v>0.73684210526315785</v>
      </c>
      <c r="D8" s="9">
        <v>0.51315789473684215</v>
      </c>
      <c r="E8" s="8">
        <v>0.69642857142857151</v>
      </c>
      <c r="F8" s="9">
        <v>0.3</v>
      </c>
      <c r="G8" s="9">
        <v>0.3</v>
      </c>
      <c r="H8" s="9">
        <v>0.21315789473684216</v>
      </c>
      <c r="I8" s="8">
        <v>0.71052631578947389</v>
      </c>
    </row>
    <row r="9" spans="1:9" x14ac:dyDescent="0.3">
      <c r="A9" s="5" t="s">
        <v>162</v>
      </c>
      <c r="B9" s="9">
        <v>156.25</v>
      </c>
      <c r="C9" s="9">
        <v>10.526315789473685</v>
      </c>
      <c r="D9" s="9">
        <v>145.7236842105263</v>
      </c>
      <c r="E9" s="8">
        <v>13.843749999999998</v>
      </c>
      <c r="F9" s="9">
        <v>165.779166</v>
      </c>
      <c r="G9" s="9">
        <v>165.779166</v>
      </c>
      <c r="H9" s="9">
        <v>-20.055481789473703</v>
      </c>
      <c r="I9" s="8">
        <v>-0.12097709424761917</v>
      </c>
    </row>
    <row r="10" spans="1:9" x14ac:dyDescent="0.3">
      <c r="A10" s="5" t="s">
        <v>23</v>
      </c>
      <c r="B10" s="9">
        <v>45</v>
      </c>
      <c r="C10" s="9">
        <v>21.05263157894737</v>
      </c>
      <c r="D10" s="9">
        <v>23.94736842105263</v>
      </c>
      <c r="E10" s="8">
        <v>1.1375</v>
      </c>
      <c r="F10" s="9">
        <v>14.129856</v>
      </c>
      <c r="G10" s="9">
        <v>14.129856</v>
      </c>
      <c r="H10" s="9">
        <v>9.8175124210526299</v>
      </c>
      <c r="I10" s="8">
        <v>0.69480626136972878</v>
      </c>
    </row>
    <row r="11" spans="1:9" x14ac:dyDescent="0.3">
      <c r="A11" s="5" t="s">
        <v>27</v>
      </c>
      <c r="B11" s="9">
        <v>184.875</v>
      </c>
      <c r="C11" s="9">
        <v>28.421052631578945</v>
      </c>
      <c r="D11" s="9">
        <v>156.45394736842104</v>
      </c>
      <c r="E11" s="8">
        <v>5.5048611111111114</v>
      </c>
      <c r="F11" s="9">
        <v>166.43377999999998</v>
      </c>
      <c r="G11" s="9">
        <v>166.43377999999998</v>
      </c>
      <c r="H11" s="9">
        <v>-9.9798326315789438</v>
      </c>
      <c r="I11" s="8">
        <v>-5.996278298539482E-2</v>
      </c>
    </row>
    <row r="12" spans="1:9" x14ac:dyDescent="0.3">
      <c r="A12" s="5" t="s">
        <v>11</v>
      </c>
      <c r="B12" s="9">
        <v>230.5</v>
      </c>
      <c r="C12" s="9">
        <v>25.263157894736842</v>
      </c>
      <c r="D12" s="9">
        <v>205.23684210526315</v>
      </c>
      <c r="E12" s="8">
        <v>8.1239583333333325</v>
      </c>
      <c r="F12" s="9">
        <v>135.40260499999999</v>
      </c>
      <c r="G12" s="9">
        <v>135.40260499999999</v>
      </c>
      <c r="H12" s="9">
        <v>69.834237105263156</v>
      </c>
      <c r="I12" s="8">
        <v>0.51575253744389304</v>
      </c>
    </row>
    <row r="13" spans="1:9" x14ac:dyDescent="0.3">
      <c r="A13" s="5" t="s">
        <v>22</v>
      </c>
      <c r="B13" s="9">
        <v>5.125</v>
      </c>
      <c r="C13" s="9">
        <v>1.0526315789473684</v>
      </c>
      <c r="D13" s="9">
        <v>4.0723684210526319</v>
      </c>
      <c r="E13" s="8">
        <v>3.8687500000000004</v>
      </c>
      <c r="F13" s="9">
        <v>3.4623599999999999</v>
      </c>
      <c r="G13" s="9">
        <v>3.4623599999999999</v>
      </c>
      <c r="H13" s="9">
        <v>0.61000842105263198</v>
      </c>
      <c r="I13" s="8">
        <v>0.17618284090985109</v>
      </c>
    </row>
    <row r="14" spans="1:9" x14ac:dyDescent="0.3">
      <c r="A14" s="5" t="s">
        <v>10</v>
      </c>
      <c r="B14" s="9">
        <v>25</v>
      </c>
      <c r="C14" s="9">
        <v>4.2105263157894735</v>
      </c>
      <c r="D14" s="9">
        <v>20.789473684210527</v>
      </c>
      <c r="E14" s="8">
        <v>4.9375000000000009</v>
      </c>
      <c r="F14" s="9">
        <v>22.233744000000002</v>
      </c>
      <c r="G14" s="9">
        <v>22.233744000000002</v>
      </c>
      <c r="H14" s="9">
        <v>-1.4442703157894741</v>
      </c>
      <c r="I14" s="8">
        <v>-6.4958484535464378E-2</v>
      </c>
    </row>
    <row r="15" spans="1:9" x14ac:dyDescent="0.3">
      <c r="A15" s="5" t="s">
        <v>26</v>
      </c>
      <c r="B15" s="9">
        <v>42.612499999999997</v>
      </c>
      <c r="C15" s="9">
        <v>2.6315789473684212</v>
      </c>
      <c r="D15" s="9">
        <v>39.980921052631572</v>
      </c>
      <c r="E15" s="8">
        <v>15.192749999999997</v>
      </c>
      <c r="F15" s="9">
        <v>39.79522</v>
      </c>
      <c r="G15" s="9">
        <v>39.79522</v>
      </c>
      <c r="H15" s="9">
        <v>0.18570105263157188</v>
      </c>
      <c r="I15" s="8">
        <v>4.6664160326685437E-3</v>
      </c>
    </row>
    <row r="16" spans="1:9" x14ac:dyDescent="0.3">
      <c r="A16" s="4" t="s">
        <v>7</v>
      </c>
      <c r="B16" s="9">
        <v>18314.800000000003</v>
      </c>
      <c r="C16" s="9">
        <v>3054.08</v>
      </c>
      <c r="D16" s="9">
        <v>15260.720000000003</v>
      </c>
      <c r="E16" s="8">
        <v>4.9968304694048626</v>
      </c>
      <c r="F16" s="9">
        <v>6000</v>
      </c>
      <c r="G16" s="9">
        <v>13251.378000000001</v>
      </c>
      <c r="H16" s="9">
        <v>2009.3420000000024</v>
      </c>
      <c r="I16" s="8">
        <v>0.1516326830311536</v>
      </c>
    </row>
    <row r="17" spans="1:9" x14ac:dyDescent="0.3">
      <c r="A17" s="5" t="s">
        <v>19</v>
      </c>
      <c r="B17" s="9">
        <v>2847</v>
      </c>
      <c r="C17" s="9">
        <v>237</v>
      </c>
      <c r="D17" s="9">
        <v>2610</v>
      </c>
      <c r="E17" s="8">
        <v>11.012658227848101</v>
      </c>
      <c r="F17" s="9">
        <v>2244.6</v>
      </c>
      <c r="G17" s="9">
        <v>2244.6</v>
      </c>
      <c r="H17" s="9">
        <v>365.40000000000009</v>
      </c>
      <c r="I17" s="8">
        <v>0.16279069767441864</v>
      </c>
    </row>
    <row r="18" spans="1:9" x14ac:dyDescent="0.3">
      <c r="A18" s="5" t="s">
        <v>13</v>
      </c>
      <c r="B18" s="9">
        <v>73.3</v>
      </c>
      <c r="C18" s="9">
        <v>25</v>
      </c>
      <c r="D18" s="9">
        <v>48.3</v>
      </c>
      <c r="E18" s="8">
        <v>1.9319999999999999</v>
      </c>
      <c r="F18" s="9">
        <v>47.333999999999996</v>
      </c>
      <c r="G18" s="9">
        <v>47.333999999999996</v>
      </c>
      <c r="H18" s="9">
        <v>0.96600000000000108</v>
      </c>
      <c r="I18" s="8">
        <v>2.0408163265306149E-2</v>
      </c>
    </row>
    <row r="19" spans="1:9" x14ac:dyDescent="0.3">
      <c r="A19" s="5" t="s">
        <v>15</v>
      </c>
      <c r="B19" s="9">
        <v>307.10000000000002</v>
      </c>
      <c r="C19" s="9">
        <v>55</v>
      </c>
      <c r="D19" s="9">
        <v>252.10000000000002</v>
      </c>
      <c r="E19" s="8">
        <v>4.583636363636364</v>
      </c>
      <c r="F19" s="9">
        <v>229.411</v>
      </c>
      <c r="G19" s="9">
        <v>229.411</v>
      </c>
      <c r="H19" s="9">
        <v>22.689000000000021</v>
      </c>
      <c r="I19" s="8">
        <v>9.8901098901098994E-2</v>
      </c>
    </row>
    <row r="20" spans="1:9" x14ac:dyDescent="0.3">
      <c r="A20" s="5" t="s">
        <v>18</v>
      </c>
      <c r="B20" s="9">
        <v>3.3</v>
      </c>
      <c r="C20" s="9">
        <v>3.18</v>
      </c>
      <c r="D20" s="9">
        <v>0.11999999999999966</v>
      </c>
      <c r="E20" s="8">
        <v>3.7735849056603668E-2</v>
      </c>
      <c r="F20" s="9">
        <v>0.86</v>
      </c>
      <c r="G20" s="9">
        <v>0.86</v>
      </c>
      <c r="H20" s="9">
        <v>-0.74000000000000032</v>
      </c>
      <c r="I20" s="8">
        <v>-0.86046511627907019</v>
      </c>
    </row>
    <row r="21" spans="1:9" x14ac:dyDescent="0.3">
      <c r="A21" s="5" t="s">
        <v>8</v>
      </c>
      <c r="B21" s="9">
        <v>9054.6</v>
      </c>
      <c r="C21" s="9">
        <v>1988.7</v>
      </c>
      <c r="D21" s="9">
        <v>7065.9000000000005</v>
      </c>
      <c r="E21" s="8">
        <v>3.5530245889274403</v>
      </c>
      <c r="F21" s="9">
        <v>6000</v>
      </c>
      <c r="G21" s="9">
        <v>6000</v>
      </c>
      <c r="H21" s="9">
        <v>1065.9000000000005</v>
      </c>
      <c r="I21" s="8">
        <v>0.17765000000000009</v>
      </c>
    </row>
    <row r="22" spans="1:9" x14ac:dyDescent="0.3">
      <c r="A22" s="5" t="s">
        <v>17</v>
      </c>
      <c r="B22" s="9">
        <v>2493</v>
      </c>
      <c r="C22" s="9">
        <v>207.2</v>
      </c>
      <c r="D22" s="9">
        <v>2285.8000000000002</v>
      </c>
      <c r="E22" s="8">
        <v>11.031853281853284</v>
      </c>
      <c r="F22" s="9">
        <v>2194.3679999999999</v>
      </c>
      <c r="G22" s="9">
        <v>2194.3679999999999</v>
      </c>
      <c r="H22" s="9">
        <v>91.432000000000244</v>
      </c>
      <c r="I22" s="8">
        <v>4.1666666666666782E-2</v>
      </c>
    </row>
    <row r="23" spans="1:9" x14ac:dyDescent="0.3">
      <c r="A23" s="5" t="s">
        <v>20</v>
      </c>
      <c r="B23" s="9">
        <v>1006</v>
      </c>
      <c r="C23" s="9">
        <v>185</v>
      </c>
      <c r="D23" s="9">
        <v>821</v>
      </c>
      <c r="E23" s="8">
        <v>4.4378378378378383</v>
      </c>
      <c r="F23" s="9">
        <v>640.38</v>
      </c>
      <c r="G23" s="9">
        <v>640.38</v>
      </c>
      <c r="H23" s="9">
        <v>180.62</v>
      </c>
      <c r="I23" s="8">
        <v>0.28205128205128205</v>
      </c>
    </row>
    <row r="24" spans="1:9" x14ac:dyDescent="0.3">
      <c r="A24" s="5" t="s">
        <v>21</v>
      </c>
      <c r="B24" s="9">
        <v>1828.7</v>
      </c>
      <c r="C24" s="9">
        <v>188</v>
      </c>
      <c r="D24" s="9">
        <v>1640.7</v>
      </c>
      <c r="E24" s="8">
        <v>8.7271276595744691</v>
      </c>
      <c r="F24" s="9">
        <v>1427.4090000000001</v>
      </c>
      <c r="G24" s="9">
        <v>1427.4090000000001</v>
      </c>
      <c r="H24" s="9">
        <v>213.29099999999994</v>
      </c>
      <c r="I24" s="8">
        <v>0.1494252873563218</v>
      </c>
    </row>
    <row r="25" spans="1:9" x14ac:dyDescent="0.3">
      <c r="A25" s="5" t="s">
        <v>14</v>
      </c>
      <c r="B25" s="9">
        <v>701.8</v>
      </c>
      <c r="C25" s="9">
        <v>165</v>
      </c>
      <c r="D25" s="9">
        <v>536.79999999999995</v>
      </c>
      <c r="E25" s="8">
        <v>3.253333333333333</v>
      </c>
      <c r="F25" s="9">
        <v>467.01599999999996</v>
      </c>
      <c r="G25" s="9">
        <v>467.01599999999996</v>
      </c>
      <c r="H25" s="9">
        <v>69.783999999999992</v>
      </c>
      <c r="I25" s="8">
        <v>0.14942528735632182</v>
      </c>
    </row>
    <row r="26" spans="1:9" x14ac:dyDescent="0.3">
      <c r="A26" s="4" t="s">
        <v>203</v>
      </c>
      <c r="B26" s="9">
        <v>19265.537500000002</v>
      </c>
      <c r="C26" s="9">
        <v>3234.1852631578945</v>
      </c>
      <c r="D26" s="9">
        <v>16031.352236842107</v>
      </c>
      <c r="E26" s="8">
        <v>4.9568441299460115</v>
      </c>
      <c r="F26" s="9">
        <v>6000</v>
      </c>
      <c r="G26" s="9">
        <v>13908.683626999999</v>
      </c>
      <c r="H26" s="9">
        <v>2122.6686098421087</v>
      </c>
      <c r="I26" s="8">
        <v>0.15261463031062938</v>
      </c>
    </row>
  </sheetData>
  <mergeCells count="1">
    <mergeCell ref="A1:I1"/>
  </mergeCells>
  <conditionalFormatting pivot="1" sqref="I4:I26">
    <cfRule type="dataBar" priority="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{DC666C60-A53F-449C-BF72-B17B9C6E2AAA}</x14:id>
        </ext>
      </extLst>
    </cfRule>
  </conditionalFormatting>
  <conditionalFormatting pivot="1" sqref="I4:I26">
    <cfRule type="cellIs" dxfId="0" priority="1" operator="lessThan">
      <formula>0</formula>
    </cfRule>
  </conditionalFormatting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efresh">
                <anchor moveWithCells="1">
                  <from>
                    <xdr:col>10</xdr:col>
                    <xdr:colOff>99060</xdr:colOff>
                    <xdr:row>3</xdr:row>
                    <xdr:rowOff>45720</xdr:rowOff>
                  </from>
                  <to>
                    <xdr:col>11</xdr:col>
                    <xdr:colOff>76200</xdr:colOff>
                    <xdr:row>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C666C60-A53F-449C-BF72-B17B9C6E2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42"/>
  <sheetViews>
    <sheetView zoomScale="115" zoomScaleNormal="115" workbookViewId="0">
      <selection activeCell="A8" sqref="A8"/>
    </sheetView>
  </sheetViews>
  <sheetFormatPr defaultRowHeight="14.4" x14ac:dyDescent="0.3"/>
  <cols>
    <col min="1" max="1" width="44.88671875" bestFit="1" customWidth="1"/>
    <col min="2" max="2" width="10.5546875" bestFit="1" customWidth="1"/>
    <col min="3" max="3" width="14.6640625" customWidth="1"/>
    <col min="4" max="4" width="12.44140625" customWidth="1"/>
    <col min="5" max="5" width="26.44140625" bestFit="1" customWidth="1"/>
    <col min="6" max="6" width="12.44140625" customWidth="1"/>
    <col min="7" max="7" width="14.109375" customWidth="1"/>
  </cols>
  <sheetData>
    <row r="1" spans="1:7" x14ac:dyDescent="0.3">
      <c r="A1" s="1" t="s">
        <v>115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160</v>
      </c>
    </row>
    <row r="2" spans="1:7" x14ac:dyDescent="0.3">
      <c r="A2" t="s">
        <v>121</v>
      </c>
      <c r="B2" t="s">
        <v>6</v>
      </c>
      <c r="C2">
        <v>2022</v>
      </c>
      <c r="D2">
        <v>8.4</v>
      </c>
      <c r="E2" t="s">
        <v>116</v>
      </c>
      <c r="F2">
        <v>3</v>
      </c>
    </row>
    <row r="3" spans="1:7" x14ac:dyDescent="0.3">
      <c r="A3" t="s">
        <v>122</v>
      </c>
      <c r="B3" t="s">
        <v>7</v>
      </c>
      <c r="C3">
        <v>2022</v>
      </c>
      <c r="D3">
        <v>7</v>
      </c>
      <c r="E3" t="s">
        <v>8</v>
      </c>
      <c r="F3">
        <v>5</v>
      </c>
    </row>
    <row r="4" spans="1:7" x14ac:dyDescent="0.3">
      <c r="A4" t="s">
        <v>123</v>
      </c>
      <c r="B4" t="s">
        <v>7</v>
      </c>
      <c r="C4">
        <v>2013</v>
      </c>
      <c r="D4">
        <v>6.8</v>
      </c>
      <c r="E4" t="s">
        <v>8</v>
      </c>
      <c r="F4">
        <v>5</v>
      </c>
    </row>
    <row r="5" spans="1:7" x14ac:dyDescent="0.3">
      <c r="A5" t="s">
        <v>124</v>
      </c>
      <c r="B5" t="s">
        <v>7</v>
      </c>
      <c r="C5">
        <v>2017</v>
      </c>
      <c r="D5">
        <v>7.9</v>
      </c>
      <c r="E5" t="s">
        <v>118</v>
      </c>
      <c r="F5">
        <v>5</v>
      </c>
    </row>
    <row r="6" spans="1:7" x14ac:dyDescent="0.3">
      <c r="A6" t="s">
        <v>125</v>
      </c>
      <c r="B6" t="s">
        <v>7</v>
      </c>
      <c r="C6">
        <v>2022</v>
      </c>
      <c r="D6">
        <v>6.8</v>
      </c>
      <c r="E6" t="s">
        <v>8</v>
      </c>
      <c r="F6">
        <v>5</v>
      </c>
    </row>
    <row r="7" spans="1:7" x14ac:dyDescent="0.3">
      <c r="A7" t="s">
        <v>126</v>
      </c>
      <c r="B7" t="s">
        <v>6</v>
      </c>
      <c r="C7">
        <v>1975</v>
      </c>
      <c r="D7">
        <v>8.1</v>
      </c>
      <c r="E7" t="s">
        <v>9</v>
      </c>
      <c r="F7">
        <v>1</v>
      </c>
    </row>
    <row r="8" spans="1:7" x14ac:dyDescent="0.3">
      <c r="A8" t="s">
        <v>127</v>
      </c>
      <c r="B8" t="s">
        <v>6</v>
      </c>
      <c r="C8">
        <v>1995</v>
      </c>
      <c r="D8">
        <v>8</v>
      </c>
      <c r="E8" t="s">
        <v>10</v>
      </c>
      <c r="F8">
        <v>1</v>
      </c>
    </row>
    <row r="9" spans="1:7" x14ac:dyDescent="0.3">
      <c r="A9" t="s">
        <v>128</v>
      </c>
      <c r="B9" t="s">
        <v>6</v>
      </c>
      <c r="C9">
        <v>2009</v>
      </c>
      <c r="D9">
        <v>8.4</v>
      </c>
      <c r="E9" t="s">
        <v>117</v>
      </c>
      <c r="F9">
        <v>1</v>
      </c>
    </row>
    <row r="10" spans="1:7" x14ac:dyDescent="0.3">
      <c r="A10" t="s">
        <v>129</v>
      </c>
      <c r="B10" t="s">
        <v>6</v>
      </c>
      <c r="C10">
        <v>2001</v>
      </c>
      <c r="D10">
        <v>7.4</v>
      </c>
      <c r="E10" t="s">
        <v>12</v>
      </c>
      <c r="F10">
        <v>1</v>
      </c>
    </row>
    <row r="11" spans="1:7" x14ac:dyDescent="0.3">
      <c r="A11" t="s">
        <v>130</v>
      </c>
      <c r="B11" t="s">
        <v>6</v>
      </c>
      <c r="C11">
        <v>2015</v>
      </c>
      <c r="D11">
        <v>7.2</v>
      </c>
      <c r="F11">
        <v>1</v>
      </c>
    </row>
    <row r="12" spans="1:7" x14ac:dyDescent="0.3">
      <c r="A12" t="s">
        <v>131</v>
      </c>
      <c r="B12" t="s">
        <v>7</v>
      </c>
      <c r="C12">
        <v>1994</v>
      </c>
      <c r="D12">
        <v>9.3000000000000007</v>
      </c>
      <c r="E12" t="s">
        <v>13</v>
      </c>
      <c r="F12">
        <v>5</v>
      </c>
    </row>
    <row r="13" spans="1:7" x14ac:dyDescent="0.3">
      <c r="A13" t="s">
        <v>132</v>
      </c>
      <c r="B13" t="s">
        <v>7</v>
      </c>
      <c r="C13">
        <v>2010</v>
      </c>
      <c r="D13">
        <v>8.8000000000000007</v>
      </c>
      <c r="E13" t="s">
        <v>14</v>
      </c>
      <c r="F13">
        <v>5</v>
      </c>
    </row>
    <row r="14" spans="1:7" x14ac:dyDescent="0.3">
      <c r="A14" t="s">
        <v>133</v>
      </c>
      <c r="B14" t="s">
        <v>7</v>
      </c>
      <c r="C14">
        <v>2014</v>
      </c>
      <c r="D14">
        <v>8.6</v>
      </c>
      <c r="E14" t="s">
        <v>14</v>
      </c>
      <c r="F14">
        <v>5</v>
      </c>
    </row>
    <row r="15" spans="1:7" x14ac:dyDescent="0.3">
      <c r="A15" t="s">
        <v>134</v>
      </c>
      <c r="B15" t="s">
        <v>7</v>
      </c>
      <c r="C15">
        <v>2006</v>
      </c>
      <c r="D15">
        <v>8</v>
      </c>
      <c r="E15" t="s">
        <v>15</v>
      </c>
      <c r="F15">
        <v>5</v>
      </c>
    </row>
    <row r="16" spans="1:7" x14ac:dyDescent="0.3">
      <c r="A16" t="s">
        <v>135</v>
      </c>
      <c r="B16" t="s">
        <v>7</v>
      </c>
      <c r="C16">
        <v>2000</v>
      </c>
      <c r="D16">
        <v>8.5</v>
      </c>
      <c r="E16" t="s">
        <v>16</v>
      </c>
      <c r="F16">
        <v>5</v>
      </c>
    </row>
    <row r="17" spans="1:6" x14ac:dyDescent="0.3">
      <c r="A17" t="s">
        <v>136</v>
      </c>
      <c r="B17" t="s">
        <v>7</v>
      </c>
      <c r="C17">
        <v>1997</v>
      </c>
      <c r="D17">
        <v>7.9</v>
      </c>
      <c r="E17" t="s">
        <v>17</v>
      </c>
      <c r="F17">
        <v>5</v>
      </c>
    </row>
    <row r="18" spans="1:6" x14ac:dyDescent="0.3">
      <c r="A18" t="s">
        <v>137</v>
      </c>
      <c r="B18" t="s">
        <v>7</v>
      </c>
      <c r="C18">
        <v>1946</v>
      </c>
      <c r="D18">
        <v>8.6</v>
      </c>
      <c r="E18" t="s">
        <v>18</v>
      </c>
      <c r="F18">
        <v>5</v>
      </c>
    </row>
    <row r="19" spans="1:6" x14ac:dyDescent="0.3">
      <c r="A19" t="s">
        <v>138</v>
      </c>
      <c r="B19" t="s">
        <v>7</v>
      </c>
      <c r="C19">
        <v>2009</v>
      </c>
      <c r="D19">
        <v>7.8</v>
      </c>
      <c r="E19" t="s">
        <v>19</v>
      </c>
      <c r="F19">
        <v>5</v>
      </c>
    </row>
    <row r="20" spans="1:6" x14ac:dyDescent="0.3">
      <c r="A20" t="s">
        <v>139</v>
      </c>
      <c r="B20" t="s">
        <v>7</v>
      </c>
      <c r="C20">
        <v>1972</v>
      </c>
      <c r="D20">
        <v>9.1999999999999993</v>
      </c>
      <c r="E20" t="s">
        <v>119</v>
      </c>
      <c r="F20">
        <v>5</v>
      </c>
    </row>
    <row r="21" spans="1:6" x14ac:dyDescent="0.3">
      <c r="A21" t="s">
        <v>140</v>
      </c>
      <c r="B21" t="s">
        <v>7</v>
      </c>
      <c r="C21">
        <v>2008</v>
      </c>
      <c r="D21">
        <v>9</v>
      </c>
      <c r="E21" t="s">
        <v>20</v>
      </c>
      <c r="F21">
        <v>5</v>
      </c>
    </row>
    <row r="22" spans="1:6" x14ac:dyDescent="0.3">
      <c r="A22" t="s">
        <v>141</v>
      </c>
      <c r="B22" t="s">
        <v>7</v>
      </c>
      <c r="C22">
        <v>1993</v>
      </c>
      <c r="D22">
        <v>9</v>
      </c>
      <c r="E22" t="s">
        <v>21</v>
      </c>
      <c r="F22">
        <v>5</v>
      </c>
    </row>
    <row r="23" spans="1:6" x14ac:dyDescent="0.3">
      <c r="A23" t="s">
        <v>142</v>
      </c>
      <c r="B23" t="s">
        <v>7</v>
      </c>
      <c r="C23">
        <v>1993</v>
      </c>
      <c r="D23">
        <v>8.1999999999999993</v>
      </c>
      <c r="E23" t="s">
        <v>21</v>
      </c>
      <c r="F23">
        <v>5</v>
      </c>
    </row>
    <row r="24" spans="1:6" x14ac:dyDescent="0.3">
      <c r="A24" t="s">
        <v>143</v>
      </c>
      <c r="B24" t="s">
        <v>7</v>
      </c>
      <c r="C24">
        <v>2019</v>
      </c>
      <c r="D24">
        <v>8.5</v>
      </c>
      <c r="F24">
        <v>5</v>
      </c>
    </row>
    <row r="25" spans="1:6" x14ac:dyDescent="0.3">
      <c r="A25" t="s">
        <v>144</v>
      </c>
      <c r="B25" t="s">
        <v>7</v>
      </c>
      <c r="C25">
        <v>2019</v>
      </c>
      <c r="D25">
        <v>8.4</v>
      </c>
      <c r="E25" t="s">
        <v>8</v>
      </c>
      <c r="F25">
        <v>5</v>
      </c>
    </row>
    <row r="26" spans="1:6" x14ac:dyDescent="0.3">
      <c r="A26" t="s">
        <v>145</v>
      </c>
      <c r="B26" t="s">
        <v>7</v>
      </c>
      <c r="C26">
        <v>2018</v>
      </c>
      <c r="D26">
        <v>8.4</v>
      </c>
      <c r="E26" t="s">
        <v>8</v>
      </c>
      <c r="F26">
        <v>5</v>
      </c>
    </row>
    <row r="27" spans="1:6" x14ac:dyDescent="0.3">
      <c r="A27" t="s">
        <v>146</v>
      </c>
      <c r="B27" t="s">
        <v>6</v>
      </c>
      <c r="C27">
        <v>1955</v>
      </c>
      <c r="D27">
        <v>8.3000000000000007</v>
      </c>
      <c r="E27" t="s">
        <v>120</v>
      </c>
      <c r="F27">
        <v>7</v>
      </c>
    </row>
    <row r="28" spans="1:6" x14ac:dyDescent="0.3">
      <c r="A28" t="s">
        <v>147</v>
      </c>
      <c r="B28" t="s">
        <v>6</v>
      </c>
      <c r="C28">
        <v>2007</v>
      </c>
      <c r="D28">
        <v>8.3000000000000007</v>
      </c>
      <c r="F28">
        <v>1</v>
      </c>
    </row>
    <row r="29" spans="1:6" x14ac:dyDescent="0.3">
      <c r="A29" t="s">
        <v>148</v>
      </c>
      <c r="B29" t="s">
        <v>6</v>
      </c>
      <c r="C29">
        <v>2003</v>
      </c>
      <c r="D29">
        <v>8.1</v>
      </c>
      <c r="E29" t="s">
        <v>22</v>
      </c>
      <c r="F29">
        <v>1</v>
      </c>
    </row>
    <row r="30" spans="1:6" x14ac:dyDescent="0.3">
      <c r="A30" t="s">
        <v>143</v>
      </c>
      <c r="B30" t="s">
        <v>7</v>
      </c>
      <c r="C30">
        <v>2019</v>
      </c>
      <c r="D30">
        <v>8.5</v>
      </c>
      <c r="F30">
        <v>5</v>
      </c>
    </row>
    <row r="31" spans="1:6" x14ac:dyDescent="0.3">
      <c r="A31" t="s">
        <v>125</v>
      </c>
      <c r="B31" t="s">
        <v>7</v>
      </c>
      <c r="C31">
        <v>2022</v>
      </c>
      <c r="D31">
        <v>6.8</v>
      </c>
      <c r="E31" t="s">
        <v>8</v>
      </c>
      <c r="F31">
        <v>5</v>
      </c>
    </row>
    <row r="32" spans="1:6" x14ac:dyDescent="0.3">
      <c r="A32" t="s">
        <v>149</v>
      </c>
      <c r="B32" t="s">
        <v>6</v>
      </c>
      <c r="C32">
        <v>2014</v>
      </c>
      <c r="D32">
        <v>8.1</v>
      </c>
      <c r="E32" t="s">
        <v>11</v>
      </c>
      <c r="F32">
        <v>1</v>
      </c>
    </row>
    <row r="33" spans="1:6" x14ac:dyDescent="0.3">
      <c r="A33" t="s">
        <v>150</v>
      </c>
      <c r="B33" t="s">
        <v>6</v>
      </c>
      <c r="C33">
        <v>2018</v>
      </c>
      <c r="D33" t="s">
        <v>114</v>
      </c>
      <c r="E33" t="s">
        <v>11</v>
      </c>
      <c r="F33">
        <v>1</v>
      </c>
    </row>
    <row r="34" spans="1:6" x14ac:dyDescent="0.3">
      <c r="A34" t="s">
        <v>151</v>
      </c>
      <c r="B34" t="s">
        <v>6</v>
      </c>
      <c r="C34">
        <v>2021</v>
      </c>
      <c r="D34">
        <v>7.6</v>
      </c>
      <c r="E34" t="s">
        <v>23</v>
      </c>
      <c r="F34">
        <v>2</v>
      </c>
    </row>
    <row r="35" spans="1:6" x14ac:dyDescent="0.3">
      <c r="A35" t="s">
        <v>152</v>
      </c>
      <c r="B35" t="s">
        <v>6</v>
      </c>
      <c r="C35">
        <v>2022</v>
      </c>
      <c r="D35">
        <v>8</v>
      </c>
      <c r="E35" t="s">
        <v>24</v>
      </c>
      <c r="F35">
        <v>2</v>
      </c>
    </row>
    <row r="36" spans="1:6" x14ac:dyDescent="0.3">
      <c r="A36" t="s">
        <v>153</v>
      </c>
      <c r="B36" t="s">
        <v>6</v>
      </c>
      <c r="C36">
        <v>2015</v>
      </c>
      <c r="D36">
        <v>8</v>
      </c>
      <c r="E36" t="s">
        <v>25</v>
      </c>
      <c r="F36">
        <v>2</v>
      </c>
    </row>
    <row r="37" spans="1:6" x14ac:dyDescent="0.3">
      <c r="A37" t="s">
        <v>154</v>
      </c>
      <c r="B37" t="s">
        <v>6</v>
      </c>
      <c r="C37">
        <v>2022</v>
      </c>
      <c r="D37">
        <v>8.3000000000000007</v>
      </c>
      <c r="E37" t="s">
        <v>26</v>
      </c>
      <c r="F37">
        <v>1</v>
      </c>
    </row>
    <row r="38" spans="1:6" x14ac:dyDescent="0.3">
      <c r="A38" t="s">
        <v>155</v>
      </c>
      <c r="B38" t="s">
        <v>6</v>
      </c>
      <c r="C38">
        <v>2015</v>
      </c>
      <c r="D38">
        <v>8.1</v>
      </c>
      <c r="E38" t="s">
        <v>27</v>
      </c>
      <c r="F38">
        <v>1</v>
      </c>
    </row>
    <row r="39" spans="1:6" x14ac:dyDescent="0.3">
      <c r="A39" t="s">
        <v>156</v>
      </c>
      <c r="B39" t="s">
        <v>7</v>
      </c>
      <c r="C39">
        <v>2011</v>
      </c>
      <c r="D39">
        <v>6.9</v>
      </c>
      <c r="E39" t="s">
        <v>8</v>
      </c>
      <c r="F39">
        <v>5</v>
      </c>
    </row>
    <row r="40" spans="1:6" x14ac:dyDescent="0.3">
      <c r="A40" t="s">
        <v>157</v>
      </c>
      <c r="B40" t="s">
        <v>7</v>
      </c>
      <c r="C40">
        <v>2014</v>
      </c>
      <c r="D40">
        <v>7.8</v>
      </c>
      <c r="E40" t="s">
        <v>8</v>
      </c>
      <c r="F40">
        <v>5</v>
      </c>
    </row>
    <row r="41" spans="1:6" x14ac:dyDescent="0.3">
      <c r="A41" t="s">
        <v>158</v>
      </c>
      <c r="B41" t="s">
        <v>6</v>
      </c>
      <c r="C41">
        <v>2018</v>
      </c>
      <c r="D41">
        <v>1.9</v>
      </c>
      <c r="E41" t="s">
        <v>27</v>
      </c>
      <c r="F41">
        <v>1</v>
      </c>
    </row>
    <row r="42" spans="1:6" x14ac:dyDescent="0.3">
      <c r="A42" t="s">
        <v>159</v>
      </c>
      <c r="B42" t="s">
        <v>6</v>
      </c>
      <c r="C42">
        <v>2021</v>
      </c>
      <c r="D42">
        <v>8.4</v>
      </c>
      <c r="E42" t="s">
        <v>12</v>
      </c>
      <c r="F42">
        <v>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sheetPr codeName="Sheet4"/>
  <dimension ref="A1:E41"/>
  <sheetViews>
    <sheetView zoomScale="160" zoomScaleNormal="160" workbookViewId="0">
      <selection activeCell="C7" sqref="C7"/>
    </sheetView>
  </sheetViews>
  <sheetFormatPr defaultRowHeight="14.4" x14ac:dyDescent="0.3"/>
  <cols>
    <col min="1" max="1" width="9.88671875" customWidth="1"/>
    <col min="5" max="5" width="9.44140625" customWidth="1"/>
  </cols>
  <sheetData>
    <row r="1" spans="1:5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>
        <v>101</v>
      </c>
      <c r="B2">
        <v>1</v>
      </c>
      <c r="C2">
        <v>12.5</v>
      </c>
      <c r="D2" t="s">
        <v>32</v>
      </c>
      <c r="E2" t="s">
        <v>33</v>
      </c>
    </row>
    <row r="3" spans="1:5" x14ac:dyDescent="0.3">
      <c r="A3">
        <v>102</v>
      </c>
      <c r="B3">
        <v>200</v>
      </c>
      <c r="C3">
        <v>954.8</v>
      </c>
      <c r="D3" t="s">
        <v>34</v>
      </c>
      <c r="E3" t="s">
        <v>35</v>
      </c>
    </row>
    <row r="4" spans="1:5" x14ac:dyDescent="0.3">
      <c r="A4">
        <v>103</v>
      </c>
      <c r="B4">
        <v>165</v>
      </c>
      <c r="C4">
        <v>644.79999999999995</v>
      </c>
      <c r="D4" t="s">
        <v>34</v>
      </c>
      <c r="E4" t="s">
        <v>35</v>
      </c>
    </row>
    <row r="5" spans="1:5" x14ac:dyDescent="0.3">
      <c r="A5">
        <v>104</v>
      </c>
      <c r="B5">
        <v>180</v>
      </c>
      <c r="C5">
        <v>854</v>
      </c>
      <c r="D5" t="s">
        <v>34</v>
      </c>
      <c r="E5" t="s">
        <v>35</v>
      </c>
    </row>
    <row r="6" spans="1:5" x14ac:dyDescent="0.3">
      <c r="A6">
        <v>105</v>
      </c>
      <c r="B6">
        <v>250</v>
      </c>
      <c r="C6">
        <v>670</v>
      </c>
      <c r="D6" t="s">
        <v>34</v>
      </c>
      <c r="E6" t="s">
        <v>35</v>
      </c>
    </row>
    <row r="7" spans="1:5" x14ac:dyDescent="0.3">
      <c r="A7">
        <v>107</v>
      </c>
      <c r="B7">
        <v>400</v>
      </c>
      <c r="C7">
        <v>2000</v>
      </c>
      <c r="D7" t="s">
        <v>34</v>
      </c>
      <c r="E7" t="s">
        <v>33</v>
      </c>
    </row>
    <row r="8" spans="1:5" x14ac:dyDescent="0.3">
      <c r="A8">
        <v>108</v>
      </c>
      <c r="B8">
        <v>550</v>
      </c>
      <c r="C8">
        <v>4000</v>
      </c>
      <c r="D8" t="s">
        <v>34</v>
      </c>
      <c r="E8" t="s">
        <v>33</v>
      </c>
    </row>
    <row r="9" spans="1:5" x14ac:dyDescent="0.3">
      <c r="A9">
        <v>109</v>
      </c>
      <c r="B9">
        <v>390</v>
      </c>
      <c r="C9">
        <v>1360</v>
      </c>
      <c r="D9" t="s">
        <v>34</v>
      </c>
      <c r="E9" t="s">
        <v>33</v>
      </c>
    </row>
    <row r="10" spans="1:5" x14ac:dyDescent="0.3">
      <c r="A10">
        <v>110</v>
      </c>
      <c r="B10">
        <v>1.4</v>
      </c>
      <c r="C10">
        <v>3.5</v>
      </c>
      <c r="D10" t="s">
        <v>32</v>
      </c>
      <c r="E10" t="s">
        <v>33</v>
      </c>
    </row>
    <row r="11" spans="1:5" x14ac:dyDescent="0.3">
      <c r="A11">
        <v>111</v>
      </c>
      <c r="B11">
        <v>25</v>
      </c>
      <c r="C11">
        <v>73.3</v>
      </c>
      <c r="D11" t="s">
        <v>34</v>
      </c>
      <c r="E11" t="s">
        <v>35</v>
      </c>
    </row>
    <row r="12" spans="1:5" x14ac:dyDescent="0.3">
      <c r="A12">
        <v>113</v>
      </c>
      <c r="B12">
        <v>165</v>
      </c>
      <c r="C12">
        <v>701.8</v>
      </c>
      <c r="D12" t="s">
        <v>34</v>
      </c>
      <c r="E12" t="s">
        <v>35</v>
      </c>
    </row>
    <row r="13" spans="1:5" x14ac:dyDescent="0.3">
      <c r="A13">
        <v>114</v>
      </c>
      <c r="B13">
        <v>205</v>
      </c>
      <c r="C13">
        <v>365.3</v>
      </c>
      <c r="D13" t="s">
        <v>34</v>
      </c>
      <c r="E13" t="s">
        <v>35</v>
      </c>
    </row>
    <row r="14" spans="1:5" x14ac:dyDescent="0.3">
      <c r="A14">
        <v>115</v>
      </c>
      <c r="B14">
        <v>55</v>
      </c>
      <c r="C14">
        <v>307.10000000000002</v>
      </c>
      <c r="D14" t="s">
        <v>34</v>
      </c>
      <c r="E14" t="s">
        <v>35</v>
      </c>
    </row>
    <row r="15" spans="1:5" x14ac:dyDescent="0.3">
      <c r="A15">
        <v>116</v>
      </c>
      <c r="B15">
        <v>103</v>
      </c>
      <c r="C15">
        <v>460.5</v>
      </c>
      <c r="D15" t="s">
        <v>34</v>
      </c>
      <c r="E15" t="s">
        <v>35</v>
      </c>
    </row>
    <row r="16" spans="1:5" x14ac:dyDescent="0.3">
      <c r="A16">
        <v>117</v>
      </c>
      <c r="B16">
        <v>200</v>
      </c>
      <c r="C16">
        <v>2202</v>
      </c>
      <c r="D16" t="s">
        <v>34</v>
      </c>
      <c r="E16" t="s">
        <v>35</v>
      </c>
    </row>
    <row r="17" spans="1:5" x14ac:dyDescent="0.3">
      <c r="A17">
        <v>118</v>
      </c>
      <c r="B17">
        <v>3.18</v>
      </c>
      <c r="C17">
        <v>3.3</v>
      </c>
      <c r="D17" t="s">
        <v>34</v>
      </c>
      <c r="E17" t="s">
        <v>35</v>
      </c>
    </row>
    <row r="18" spans="1:5" x14ac:dyDescent="0.3">
      <c r="A18">
        <v>119</v>
      </c>
      <c r="B18">
        <v>237</v>
      </c>
      <c r="C18">
        <v>2847</v>
      </c>
      <c r="D18" t="s">
        <v>34</v>
      </c>
      <c r="E18" t="s">
        <v>35</v>
      </c>
    </row>
    <row r="19" spans="1:5" x14ac:dyDescent="0.3">
      <c r="A19">
        <v>120</v>
      </c>
      <c r="B19">
        <v>7.2</v>
      </c>
      <c r="C19">
        <v>291</v>
      </c>
      <c r="D19" t="s">
        <v>34</v>
      </c>
      <c r="E19" t="s">
        <v>35</v>
      </c>
    </row>
    <row r="20" spans="1:5" x14ac:dyDescent="0.3">
      <c r="A20">
        <v>121</v>
      </c>
      <c r="B20">
        <v>185</v>
      </c>
      <c r="C20">
        <v>1006</v>
      </c>
      <c r="D20" t="s">
        <v>34</v>
      </c>
      <c r="E20" t="s">
        <v>35</v>
      </c>
    </row>
    <row r="21" spans="1:5" x14ac:dyDescent="0.3">
      <c r="A21">
        <v>122</v>
      </c>
      <c r="B21">
        <v>22</v>
      </c>
      <c r="C21">
        <v>322.2</v>
      </c>
      <c r="D21" t="s">
        <v>34</v>
      </c>
      <c r="E21" t="s">
        <v>35</v>
      </c>
    </row>
    <row r="22" spans="1:5" x14ac:dyDescent="0.3">
      <c r="A22">
        <v>123</v>
      </c>
      <c r="B22">
        <v>63</v>
      </c>
      <c r="C22">
        <v>1046</v>
      </c>
      <c r="D22" t="s">
        <v>34</v>
      </c>
      <c r="E22" t="s">
        <v>35</v>
      </c>
    </row>
    <row r="23" spans="1:5" x14ac:dyDescent="0.3">
      <c r="A23">
        <v>124</v>
      </c>
      <c r="B23">
        <v>15.5</v>
      </c>
      <c r="C23">
        <v>263.10000000000002</v>
      </c>
      <c r="D23" t="s">
        <v>34</v>
      </c>
      <c r="E23" t="s">
        <v>35</v>
      </c>
    </row>
    <row r="24" spans="1:5" x14ac:dyDescent="0.3">
      <c r="A24">
        <v>125</v>
      </c>
      <c r="B24">
        <v>400</v>
      </c>
      <c r="C24">
        <v>2798</v>
      </c>
      <c r="D24" t="s">
        <v>34</v>
      </c>
      <c r="E24" t="s">
        <v>35</v>
      </c>
    </row>
    <row r="25" spans="1:5" x14ac:dyDescent="0.3">
      <c r="A25">
        <v>126</v>
      </c>
      <c r="B25">
        <v>400</v>
      </c>
      <c r="C25">
        <v>2048</v>
      </c>
      <c r="D25" t="s">
        <v>34</v>
      </c>
      <c r="E25" t="s">
        <v>35</v>
      </c>
    </row>
    <row r="26" spans="1:5" x14ac:dyDescent="0.3">
      <c r="A26">
        <v>127</v>
      </c>
      <c r="B26">
        <v>70</v>
      </c>
      <c r="C26">
        <v>100</v>
      </c>
      <c r="D26" t="s">
        <v>34</v>
      </c>
      <c r="E26" t="s">
        <v>33</v>
      </c>
    </row>
    <row r="27" spans="1:5" x14ac:dyDescent="0.3">
      <c r="A27">
        <v>128</v>
      </c>
      <c r="B27">
        <v>120</v>
      </c>
      <c r="C27">
        <v>1350</v>
      </c>
      <c r="D27" t="s">
        <v>34</v>
      </c>
      <c r="E27" t="s">
        <v>33</v>
      </c>
    </row>
    <row r="28" spans="1:5" x14ac:dyDescent="0.3">
      <c r="A28">
        <v>129</v>
      </c>
      <c r="B28">
        <v>100</v>
      </c>
      <c r="C28">
        <v>410</v>
      </c>
      <c r="D28" t="s">
        <v>34</v>
      </c>
      <c r="E28" t="s">
        <v>33</v>
      </c>
    </row>
    <row r="29" spans="1:5" x14ac:dyDescent="0.3">
      <c r="A29">
        <v>130</v>
      </c>
      <c r="B29">
        <v>850</v>
      </c>
      <c r="C29">
        <v>8540</v>
      </c>
      <c r="D29" t="s">
        <v>34</v>
      </c>
      <c r="E29" t="s">
        <v>33</v>
      </c>
    </row>
    <row r="30" spans="1:5" x14ac:dyDescent="0.3">
      <c r="A30">
        <v>131</v>
      </c>
      <c r="B30">
        <v>1</v>
      </c>
      <c r="C30">
        <v>5.9</v>
      </c>
      <c r="D30" t="s">
        <v>32</v>
      </c>
      <c r="E30" t="s">
        <v>33</v>
      </c>
    </row>
    <row r="31" spans="1:5" x14ac:dyDescent="0.3">
      <c r="A31">
        <v>132</v>
      </c>
      <c r="B31">
        <v>2</v>
      </c>
      <c r="C31">
        <v>3.6</v>
      </c>
      <c r="D31" t="s">
        <v>32</v>
      </c>
      <c r="E31" t="s">
        <v>33</v>
      </c>
    </row>
    <row r="32" spans="1:5" x14ac:dyDescent="0.3">
      <c r="A32">
        <v>133</v>
      </c>
      <c r="B32">
        <v>5.5</v>
      </c>
      <c r="C32">
        <v>12</v>
      </c>
      <c r="D32" t="s">
        <v>32</v>
      </c>
      <c r="E32" t="s">
        <v>33</v>
      </c>
    </row>
    <row r="33" spans="1:5" x14ac:dyDescent="0.3">
      <c r="A33">
        <v>134</v>
      </c>
      <c r="B33">
        <v>1.8</v>
      </c>
      <c r="C33">
        <v>6.5</v>
      </c>
      <c r="D33" t="s">
        <v>32</v>
      </c>
      <c r="E33" t="s">
        <v>33</v>
      </c>
    </row>
    <row r="34" spans="1:5" x14ac:dyDescent="0.3">
      <c r="A34">
        <v>135</v>
      </c>
      <c r="B34">
        <v>250</v>
      </c>
      <c r="C34">
        <v>3409</v>
      </c>
      <c r="D34" t="s">
        <v>34</v>
      </c>
      <c r="E34" t="s">
        <v>33</v>
      </c>
    </row>
    <row r="35" spans="1:5" x14ac:dyDescent="0.3">
      <c r="A35">
        <v>136</v>
      </c>
      <c r="B35">
        <v>900</v>
      </c>
      <c r="C35">
        <v>11690</v>
      </c>
      <c r="D35" t="s">
        <v>34</v>
      </c>
      <c r="E35" t="s">
        <v>33</v>
      </c>
    </row>
    <row r="36" spans="1:5" x14ac:dyDescent="0.3">
      <c r="A36">
        <v>137</v>
      </c>
      <c r="B36">
        <v>216.7</v>
      </c>
      <c r="C36">
        <v>370.6</v>
      </c>
      <c r="D36" t="s">
        <v>34</v>
      </c>
      <c r="E36" t="s">
        <v>35</v>
      </c>
    </row>
    <row r="37" spans="1:5" x14ac:dyDescent="0.3">
      <c r="A37">
        <v>138</v>
      </c>
      <c r="B37">
        <v>177</v>
      </c>
      <c r="C37">
        <v>714.4</v>
      </c>
      <c r="D37" t="s">
        <v>34</v>
      </c>
      <c r="E37" t="s">
        <v>35</v>
      </c>
    </row>
    <row r="38" spans="1:5" x14ac:dyDescent="0.3">
      <c r="A38">
        <v>139</v>
      </c>
      <c r="B38">
        <v>1.8</v>
      </c>
      <c r="C38">
        <v>3.1</v>
      </c>
      <c r="D38" t="s">
        <v>32</v>
      </c>
      <c r="E38" t="s">
        <v>33</v>
      </c>
    </row>
    <row r="39" spans="1:5" x14ac:dyDescent="0.3">
      <c r="A39">
        <v>140</v>
      </c>
      <c r="B39">
        <v>500</v>
      </c>
      <c r="C39">
        <v>950</v>
      </c>
      <c r="D39" t="s">
        <v>34</v>
      </c>
      <c r="E39" t="s">
        <v>33</v>
      </c>
    </row>
    <row r="40" spans="1:5" x14ac:dyDescent="0.3">
      <c r="A40">
        <v>406</v>
      </c>
      <c r="B40">
        <v>30</v>
      </c>
      <c r="C40">
        <v>350</v>
      </c>
      <c r="D40" t="s">
        <v>34</v>
      </c>
      <c r="E40" t="s">
        <v>33</v>
      </c>
    </row>
    <row r="41" spans="1:5" x14ac:dyDescent="0.3">
      <c r="A41">
        <v>412</v>
      </c>
      <c r="B41">
        <v>160</v>
      </c>
      <c r="C41">
        <v>836.8</v>
      </c>
      <c r="D41" t="s">
        <v>34</v>
      </c>
      <c r="E41" t="s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sheetPr codeName="Sheet5"/>
  <dimension ref="A1:C68"/>
  <sheetViews>
    <sheetView zoomScale="160" zoomScaleNormal="160" workbookViewId="0">
      <selection activeCell="E12" sqref="E12"/>
    </sheetView>
  </sheetViews>
  <sheetFormatPr defaultRowHeight="14.4" x14ac:dyDescent="0.3"/>
  <cols>
    <col min="2" max="2" width="26.44140625" customWidth="1"/>
    <col min="3" max="3" width="10.88671875" customWidth="1"/>
  </cols>
  <sheetData>
    <row r="1" spans="1:3" x14ac:dyDescent="0.3">
      <c r="A1" s="2" t="s">
        <v>36</v>
      </c>
      <c r="B1" s="2" t="s">
        <v>37</v>
      </c>
      <c r="C1" s="2" t="s">
        <v>38</v>
      </c>
    </row>
    <row r="2" spans="1:3" x14ac:dyDescent="0.3">
      <c r="A2">
        <v>50</v>
      </c>
      <c r="B2" t="s">
        <v>39</v>
      </c>
      <c r="C2">
        <v>1986</v>
      </c>
    </row>
    <row r="3" spans="1:3" x14ac:dyDescent="0.3">
      <c r="A3">
        <v>51</v>
      </c>
      <c r="B3" t="s">
        <v>40</v>
      </c>
      <c r="C3">
        <v>1959</v>
      </c>
    </row>
    <row r="4" spans="1:3" x14ac:dyDescent="0.3">
      <c r="A4">
        <v>52</v>
      </c>
      <c r="B4" t="s">
        <v>41</v>
      </c>
      <c r="C4">
        <v>1976</v>
      </c>
    </row>
    <row r="5" spans="1:3" x14ac:dyDescent="0.3">
      <c r="A5">
        <v>53</v>
      </c>
      <c r="B5" t="s">
        <v>42</v>
      </c>
      <c r="C5">
        <v>1989</v>
      </c>
    </row>
    <row r="6" spans="1:3" x14ac:dyDescent="0.3">
      <c r="A6">
        <v>54</v>
      </c>
      <c r="B6" t="s">
        <v>43</v>
      </c>
      <c r="C6">
        <v>1983</v>
      </c>
    </row>
    <row r="7" spans="1:3" x14ac:dyDescent="0.3">
      <c r="A7">
        <v>55</v>
      </c>
      <c r="B7" t="s">
        <v>44</v>
      </c>
      <c r="C7">
        <v>1981</v>
      </c>
    </row>
    <row r="8" spans="1:3" x14ac:dyDescent="0.3">
      <c r="A8">
        <v>56</v>
      </c>
      <c r="B8" t="s">
        <v>45</v>
      </c>
      <c r="C8">
        <v>1981</v>
      </c>
    </row>
    <row r="9" spans="1:3" x14ac:dyDescent="0.3">
      <c r="A9">
        <v>57</v>
      </c>
      <c r="B9" t="s">
        <v>46</v>
      </c>
      <c r="C9">
        <v>1942</v>
      </c>
    </row>
    <row r="10" spans="1:3" x14ac:dyDescent="0.3">
      <c r="A10">
        <v>58</v>
      </c>
      <c r="B10" t="s">
        <v>47</v>
      </c>
      <c r="C10">
        <v>1948</v>
      </c>
    </row>
    <row r="11" spans="1:3" x14ac:dyDescent="0.3">
      <c r="A11">
        <v>59</v>
      </c>
      <c r="B11" t="s">
        <v>48</v>
      </c>
      <c r="C11">
        <v>1965</v>
      </c>
    </row>
    <row r="12" spans="1:3" x14ac:dyDescent="0.3">
      <c r="A12">
        <v>60</v>
      </c>
      <c r="B12" t="s">
        <v>49</v>
      </c>
      <c r="C12">
        <v>1974</v>
      </c>
    </row>
    <row r="13" spans="1:3" x14ac:dyDescent="0.3">
      <c r="A13">
        <v>61</v>
      </c>
      <c r="B13" t="s">
        <v>50</v>
      </c>
      <c r="C13">
        <v>1965</v>
      </c>
    </row>
    <row r="14" spans="1:3" x14ac:dyDescent="0.3">
      <c r="A14">
        <v>62</v>
      </c>
      <c r="B14" t="s">
        <v>51</v>
      </c>
      <c r="C14">
        <v>1970</v>
      </c>
    </row>
    <row r="15" spans="1:3" x14ac:dyDescent="0.3">
      <c r="A15">
        <v>63</v>
      </c>
      <c r="B15" t="s">
        <v>52</v>
      </c>
      <c r="C15">
        <v>1979</v>
      </c>
    </row>
    <row r="16" spans="1:3" x14ac:dyDescent="0.3">
      <c r="A16">
        <v>64</v>
      </c>
      <c r="B16" t="s">
        <v>53</v>
      </c>
      <c r="C16">
        <v>1974</v>
      </c>
    </row>
    <row r="17" spans="1:3" x14ac:dyDescent="0.3">
      <c r="A17">
        <v>65</v>
      </c>
      <c r="B17" t="s">
        <v>54</v>
      </c>
      <c r="C17">
        <v>1985</v>
      </c>
    </row>
    <row r="18" spans="1:3" x14ac:dyDescent="0.3">
      <c r="A18">
        <v>66</v>
      </c>
      <c r="B18" t="s">
        <v>55</v>
      </c>
      <c r="C18">
        <v>1986</v>
      </c>
    </row>
    <row r="19" spans="1:3" x14ac:dyDescent="0.3">
      <c r="A19">
        <v>67</v>
      </c>
      <c r="B19" t="s">
        <v>56</v>
      </c>
      <c r="C19">
        <v>1958</v>
      </c>
    </row>
    <row r="20" spans="1:3" x14ac:dyDescent="0.3">
      <c r="A20">
        <v>68</v>
      </c>
      <c r="B20" t="s">
        <v>57</v>
      </c>
      <c r="C20">
        <v>1937</v>
      </c>
    </row>
    <row r="21" spans="1:3" x14ac:dyDescent="0.3">
      <c r="A21">
        <v>69</v>
      </c>
      <c r="B21" t="s">
        <v>58</v>
      </c>
      <c r="C21">
        <v>1974</v>
      </c>
    </row>
    <row r="22" spans="1:3" x14ac:dyDescent="0.3">
      <c r="A22">
        <v>70</v>
      </c>
      <c r="B22" t="s">
        <v>59</v>
      </c>
      <c r="C22">
        <v>1959</v>
      </c>
    </row>
    <row r="23" spans="1:3" x14ac:dyDescent="0.3">
      <c r="A23">
        <v>71</v>
      </c>
      <c r="B23" t="s">
        <v>60</v>
      </c>
      <c r="C23">
        <v>1969</v>
      </c>
    </row>
    <row r="24" spans="1:3" x14ac:dyDescent="0.3">
      <c r="A24">
        <v>72</v>
      </c>
      <c r="B24" t="s">
        <v>61</v>
      </c>
      <c r="C24">
        <v>1982</v>
      </c>
    </row>
    <row r="25" spans="1:3" x14ac:dyDescent="0.3">
      <c r="A25">
        <v>73</v>
      </c>
      <c r="B25" t="s">
        <v>62</v>
      </c>
      <c r="C25">
        <v>1984</v>
      </c>
    </row>
    <row r="26" spans="1:3" x14ac:dyDescent="0.3">
      <c r="A26">
        <v>74</v>
      </c>
      <c r="B26" t="s">
        <v>63</v>
      </c>
      <c r="C26">
        <v>1986</v>
      </c>
    </row>
    <row r="27" spans="1:3" x14ac:dyDescent="0.3">
      <c r="A27">
        <v>75</v>
      </c>
      <c r="B27" t="s">
        <v>64</v>
      </c>
      <c r="C27">
        <v>1968</v>
      </c>
    </row>
    <row r="28" spans="1:3" x14ac:dyDescent="0.3">
      <c r="A28">
        <v>76</v>
      </c>
      <c r="B28" t="s">
        <v>65</v>
      </c>
      <c r="C28">
        <v>1972</v>
      </c>
    </row>
    <row r="29" spans="1:3" x14ac:dyDescent="0.3">
      <c r="A29">
        <v>77</v>
      </c>
      <c r="B29" t="s">
        <v>66</v>
      </c>
      <c r="C29">
        <v>1964</v>
      </c>
    </row>
    <row r="30" spans="1:3" x14ac:dyDescent="0.3">
      <c r="A30">
        <v>78</v>
      </c>
      <c r="B30" t="s">
        <v>67</v>
      </c>
      <c r="C30">
        <v>1974</v>
      </c>
    </row>
    <row r="31" spans="1:3" x14ac:dyDescent="0.3">
      <c r="A31">
        <v>79</v>
      </c>
      <c r="B31" t="s">
        <v>68</v>
      </c>
      <c r="C31">
        <v>1975</v>
      </c>
    </row>
    <row r="32" spans="1:3" x14ac:dyDescent="0.3">
      <c r="A32">
        <v>80</v>
      </c>
      <c r="B32" t="s">
        <v>69</v>
      </c>
      <c r="C32">
        <v>1908</v>
      </c>
    </row>
    <row r="33" spans="1:3" x14ac:dyDescent="0.3">
      <c r="A33">
        <v>81</v>
      </c>
      <c r="B33" t="s">
        <v>70</v>
      </c>
      <c r="C33">
        <v>1921</v>
      </c>
    </row>
    <row r="34" spans="1:3" x14ac:dyDescent="0.3">
      <c r="A34">
        <v>82</v>
      </c>
      <c r="B34" t="s">
        <v>71</v>
      </c>
      <c r="C34">
        <v>1976</v>
      </c>
    </row>
    <row r="35" spans="1:3" x14ac:dyDescent="0.3">
      <c r="A35">
        <v>83</v>
      </c>
      <c r="B35" t="s">
        <v>72</v>
      </c>
      <c r="C35">
        <v>1978</v>
      </c>
    </row>
    <row r="36" spans="1:3" x14ac:dyDescent="0.3">
      <c r="A36">
        <v>84</v>
      </c>
      <c r="B36" t="s">
        <v>73</v>
      </c>
      <c r="C36">
        <v>1924</v>
      </c>
    </row>
    <row r="37" spans="1:3" x14ac:dyDescent="0.3">
      <c r="A37">
        <v>85</v>
      </c>
      <c r="B37" t="s">
        <v>74</v>
      </c>
      <c r="C37">
        <v>1940</v>
      </c>
    </row>
    <row r="38" spans="1:3" x14ac:dyDescent="0.3">
      <c r="A38">
        <v>86</v>
      </c>
      <c r="B38" t="s">
        <v>75</v>
      </c>
      <c r="C38">
        <v>1974</v>
      </c>
    </row>
    <row r="39" spans="1:3" x14ac:dyDescent="0.3">
      <c r="A39">
        <v>87</v>
      </c>
      <c r="B39" t="s">
        <v>76</v>
      </c>
      <c r="C39">
        <v>1979</v>
      </c>
    </row>
    <row r="40" spans="1:3" x14ac:dyDescent="0.3">
      <c r="A40">
        <v>88</v>
      </c>
      <c r="B40" t="s">
        <v>77</v>
      </c>
      <c r="C40">
        <v>1952</v>
      </c>
    </row>
    <row r="41" spans="1:3" x14ac:dyDescent="0.3">
      <c r="A41">
        <v>89</v>
      </c>
      <c r="B41" t="s">
        <v>78</v>
      </c>
      <c r="C41">
        <v>1943</v>
      </c>
    </row>
    <row r="42" spans="1:3" x14ac:dyDescent="0.3">
      <c r="A42">
        <v>90</v>
      </c>
      <c r="B42" t="s">
        <v>79</v>
      </c>
      <c r="C42">
        <v>1947</v>
      </c>
    </row>
    <row r="43" spans="1:3" x14ac:dyDescent="0.3">
      <c r="A43">
        <v>91</v>
      </c>
      <c r="B43" t="s">
        <v>80</v>
      </c>
      <c r="C43">
        <v>1967</v>
      </c>
    </row>
    <row r="44" spans="1:3" x14ac:dyDescent="0.3">
      <c r="A44">
        <v>92</v>
      </c>
      <c r="B44" t="s">
        <v>81</v>
      </c>
      <c r="C44">
        <v>1967</v>
      </c>
    </row>
    <row r="45" spans="1:3" x14ac:dyDescent="0.3">
      <c r="A45">
        <v>93</v>
      </c>
      <c r="B45" t="s">
        <v>82</v>
      </c>
      <c r="C45">
        <v>1975</v>
      </c>
    </row>
    <row r="46" spans="1:3" x14ac:dyDescent="0.3">
      <c r="A46">
        <v>94</v>
      </c>
      <c r="B46" t="s">
        <v>83</v>
      </c>
      <c r="C46">
        <v>1965</v>
      </c>
    </row>
    <row r="47" spans="1:3" x14ac:dyDescent="0.3">
      <c r="A47">
        <v>95</v>
      </c>
      <c r="B47" t="s">
        <v>84</v>
      </c>
      <c r="C47">
        <v>1981</v>
      </c>
    </row>
    <row r="48" spans="1:3" x14ac:dyDescent="0.3">
      <c r="A48">
        <v>150</v>
      </c>
      <c r="B48" t="s">
        <v>85</v>
      </c>
      <c r="C48">
        <v>1905</v>
      </c>
    </row>
    <row r="49" spans="1:3" x14ac:dyDescent="0.3">
      <c r="A49">
        <v>151</v>
      </c>
      <c r="B49" t="s">
        <v>86</v>
      </c>
      <c r="C49">
        <v>1919</v>
      </c>
    </row>
    <row r="50" spans="1:3" x14ac:dyDescent="0.3">
      <c r="A50">
        <v>152</v>
      </c>
      <c r="B50" t="s">
        <v>87</v>
      </c>
      <c r="C50">
        <v>1997</v>
      </c>
    </row>
    <row r="51" spans="1:3" x14ac:dyDescent="0.3">
      <c r="A51">
        <v>153</v>
      </c>
      <c r="B51" t="s">
        <v>88</v>
      </c>
      <c r="C51">
        <v>1929</v>
      </c>
    </row>
    <row r="52" spans="1:3" x14ac:dyDescent="0.3">
      <c r="A52">
        <v>154</v>
      </c>
      <c r="B52" t="s">
        <v>89</v>
      </c>
      <c r="C52">
        <v>1988</v>
      </c>
    </row>
    <row r="53" spans="1:3" x14ac:dyDescent="0.3">
      <c r="A53">
        <v>155</v>
      </c>
      <c r="B53" t="s">
        <v>90</v>
      </c>
      <c r="C53">
        <v>1982</v>
      </c>
    </row>
    <row r="54" spans="1:3" x14ac:dyDescent="0.3">
      <c r="A54">
        <v>156</v>
      </c>
      <c r="B54" t="s">
        <v>91</v>
      </c>
      <c r="C54">
        <v>1982</v>
      </c>
    </row>
    <row r="55" spans="1:3" x14ac:dyDescent="0.3">
      <c r="A55">
        <v>157</v>
      </c>
      <c r="B55" t="s">
        <v>92</v>
      </c>
      <c r="C55">
        <v>1982</v>
      </c>
    </row>
    <row r="56" spans="1:3" x14ac:dyDescent="0.3">
      <c r="A56">
        <v>158</v>
      </c>
      <c r="B56" t="s">
        <v>93</v>
      </c>
      <c r="C56">
        <v>1983</v>
      </c>
    </row>
    <row r="57" spans="1:3" x14ac:dyDescent="0.3">
      <c r="A57">
        <v>159</v>
      </c>
      <c r="B57" t="s">
        <v>94</v>
      </c>
      <c r="C57">
        <v>1985</v>
      </c>
    </row>
    <row r="58" spans="1:3" x14ac:dyDescent="0.3">
      <c r="A58">
        <v>160</v>
      </c>
      <c r="B58" t="s">
        <v>95</v>
      </c>
      <c r="C58">
        <v>1979</v>
      </c>
    </row>
    <row r="59" spans="1:3" x14ac:dyDescent="0.3">
      <c r="A59">
        <v>161</v>
      </c>
      <c r="B59" t="s">
        <v>96</v>
      </c>
      <c r="C59">
        <v>1984</v>
      </c>
    </row>
    <row r="60" spans="1:3" x14ac:dyDescent="0.3">
      <c r="A60">
        <v>162</v>
      </c>
      <c r="B60" t="s">
        <v>97</v>
      </c>
      <c r="C60">
        <v>1950</v>
      </c>
    </row>
    <row r="61" spans="1:3" x14ac:dyDescent="0.3">
      <c r="A61">
        <v>163</v>
      </c>
      <c r="B61" t="s">
        <v>98</v>
      </c>
      <c r="C61">
        <v>1955</v>
      </c>
    </row>
    <row r="62" spans="1:3" x14ac:dyDescent="0.3">
      <c r="A62">
        <v>164</v>
      </c>
      <c r="B62" t="s">
        <v>99</v>
      </c>
      <c r="C62">
        <v>1965</v>
      </c>
    </row>
    <row r="63" spans="1:3" x14ac:dyDescent="0.3">
      <c r="A63">
        <v>165</v>
      </c>
      <c r="B63" t="s">
        <v>100</v>
      </c>
      <c r="C63">
        <v>1967</v>
      </c>
    </row>
    <row r="64" spans="1:3" x14ac:dyDescent="0.3">
      <c r="A64">
        <v>166</v>
      </c>
      <c r="B64" t="s">
        <v>101</v>
      </c>
      <c r="C64">
        <v>1946</v>
      </c>
    </row>
    <row r="65" spans="1:3" x14ac:dyDescent="0.3">
      <c r="A65">
        <v>167</v>
      </c>
      <c r="B65" t="s">
        <v>102</v>
      </c>
      <c r="C65">
        <v>1982</v>
      </c>
    </row>
    <row r="66" spans="1:3" x14ac:dyDescent="0.3">
      <c r="A66">
        <v>168</v>
      </c>
      <c r="B66" t="s">
        <v>103</v>
      </c>
      <c r="C66">
        <v>1956</v>
      </c>
    </row>
    <row r="67" spans="1:3" x14ac:dyDescent="0.3">
      <c r="A67">
        <v>169</v>
      </c>
      <c r="B67" t="s">
        <v>104</v>
      </c>
      <c r="C67">
        <v>1985</v>
      </c>
    </row>
    <row r="68" spans="1:3" x14ac:dyDescent="0.3">
      <c r="A68">
        <v>170</v>
      </c>
      <c r="B68" t="s">
        <v>105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sheetPr codeName="Sheet6"/>
  <dimension ref="A1:B86"/>
  <sheetViews>
    <sheetView zoomScale="160" zoomScaleNormal="160" workbookViewId="0">
      <selection activeCell="D16" sqref="D16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36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sheetPr codeName="Sheet7"/>
  <dimension ref="A1:B9"/>
  <sheetViews>
    <sheetView zoomScale="160" zoomScaleNormal="160" workbookViewId="0">
      <selection activeCell="A4" sqref="A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37</v>
      </c>
    </row>
    <row r="2" spans="1:2" x14ac:dyDescent="0.3">
      <c r="A2">
        <v>1</v>
      </c>
      <c r="B2" t="s">
        <v>106</v>
      </c>
    </row>
    <row r="3" spans="1:2" x14ac:dyDescent="0.3">
      <c r="A3">
        <v>2</v>
      </c>
      <c r="B3" t="s">
        <v>107</v>
      </c>
    </row>
    <row r="4" spans="1:2" x14ac:dyDescent="0.3">
      <c r="A4">
        <v>3</v>
      </c>
      <c r="B4" t="s">
        <v>108</v>
      </c>
    </row>
    <row r="5" spans="1:2" x14ac:dyDescent="0.3">
      <c r="A5">
        <v>4</v>
      </c>
      <c r="B5" t="s">
        <v>109</v>
      </c>
    </row>
    <row r="6" spans="1:2" x14ac:dyDescent="0.3">
      <c r="A6">
        <v>5</v>
      </c>
      <c r="B6" t="s">
        <v>110</v>
      </c>
    </row>
    <row r="7" spans="1:2" x14ac:dyDescent="0.3">
      <c r="A7">
        <v>6</v>
      </c>
      <c r="B7" t="s">
        <v>111</v>
      </c>
    </row>
    <row r="8" spans="1:2" x14ac:dyDescent="0.3">
      <c r="A8">
        <v>7</v>
      </c>
      <c r="B8" t="s">
        <v>112</v>
      </c>
    </row>
    <row r="9" spans="1:2" x14ac:dyDescent="0.3">
      <c r="A9">
        <v>8</v>
      </c>
      <c r="B9" t="s">
        <v>113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551A-15D1-4075-B685-E957F4DE89AE}">
  <sheetPr codeName="Sheet8"/>
  <dimension ref="A1:B21"/>
  <sheetViews>
    <sheetView zoomScale="130" zoomScaleNormal="130" workbookViewId="0">
      <selection activeCell="A8" sqref="A8"/>
    </sheetView>
  </sheetViews>
  <sheetFormatPr defaultRowHeight="14.4" x14ac:dyDescent="0.3"/>
  <cols>
    <col min="1" max="1" width="24.21875" bestFit="1" customWidth="1"/>
    <col min="2" max="2" width="9" bestFit="1" customWidth="1"/>
  </cols>
  <sheetData>
    <row r="1" spans="1:2" x14ac:dyDescent="0.3">
      <c r="A1" t="s">
        <v>4</v>
      </c>
      <c r="B1" t="s">
        <v>210</v>
      </c>
    </row>
    <row r="2" spans="1:2" x14ac:dyDescent="0.3">
      <c r="A2" t="s">
        <v>19</v>
      </c>
      <c r="B2" s="6">
        <v>2244.6</v>
      </c>
    </row>
    <row r="3" spans="1:2" x14ac:dyDescent="0.3">
      <c r="A3" t="s">
        <v>25</v>
      </c>
      <c r="B3" s="6">
        <v>42.7273</v>
      </c>
    </row>
    <row r="4" spans="1:2" x14ac:dyDescent="0.3">
      <c r="A4" t="s">
        <v>13</v>
      </c>
      <c r="B4" s="6">
        <v>47.333999999999996</v>
      </c>
    </row>
    <row r="5" spans="1:2" x14ac:dyDescent="0.3">
      <c r="A5" t="s">
        <v>15</v>
      </c>
      <c r="B5" s="6">
        <v>229.411</v>
      </c>
    </row>
    <row r="6" spans="1:2" x14ac:dyDescent="0.3">
      <c r="A6" t="s">
        <v>12</v>
      </c>
      <c r="B6" s="6">
        <v>12.171456000000001</v>
      </c>
    </row>
    <row r="7" spans="1:2" x14ac:dyDescent="0.3">
      <c r="A7" t="s">
        <v>24</v>
      </c>
      <c r="B7" s="6">
        <v>54.870139999999999</v>
      </c>
    </row>
    <row r="8" spans="1:2" x14ac:dyDescent="0.3">
      <c r="A8" t="s">
        <v>182</v>
      </c>
      <c r="B8" s="6">
        <v>0.3</v>
      </c>
    </row>
    <row r="9" spans="1:2" x14ac:dyDescent="0.3">
      <c r="A9" t="s">
        <v>162</v>
      </c>
      <c r="B9" s="6">
        <v>165.779166</v>
      </c>
    </row>
    <row r="10" spans="1:2" x14ac:dyDescent="0.3">
      <c r="A10" t="s">
        <v>18</v>
      </c>
      <c r="B10" s="6">
        <v>0.86</v>
      </c>
    </row>
    <row r="11" spans="1:2" x14ac:dyDescent="0.3">
      <c r="A11" t="s">
        <v>8</v>
      </c>
      <c r="B11" s="6">
        <v>6000</v>
      </c>
    </row>
    <row r="12" spans="1:2" x14ac:dyDescent="0.3">
      <c r="A12" t="s">
        <v>23</v>
      </c>
      <c r="B12" s="6">
        <v>14.129856</v>
      </c>
    </row>
    <row r="13" spans="1:2" x14ac:dyDescent="0.3">
      <c r="A13" t="s">
        <v>17</v>
      </c>
      <c r="B13" s="6">
        <v>2194.3679999999999</v>
      </c>
    </row>
    <row r="14" spans="1:2" x14ac:dyDescent="0.3">
      <c r="A14" t="s">
        <v>27</v>
      </c>
      <c r="B14" s="6">
        <v>166.43377999999998</v>
      </c>
    </row>
    <row r="15" spans="1:2" x14ac:dyDescent="0.3">
      <c r="A15" t="s">
        <v>20</v>
      </c>
      <c r="B15" s="6">
        <v>640.38</v>
      </c>
    </row>
    <row r="16" spans="1:2" x14ac:dyDescent="0.3">
      <c r="A16" t="s">
        <v>21</v>
      </c>
      <c r="B16" s="6">
        <v>1427.4090000000001</v>
      </c>
    </row>
    <row r="17" spans="1:2" x14ac:dyDescent="0.3">
      <c r="A17" t="s">
        <v>11</v>
      </c>
      <c r="B17" s="6">
        <v>135.40260499999999</v>
      </c>
    </row>
    <row r="18" spans="1:2" x14ac:dyDescent="0.3">
      <c r="A18" t="s">
        <v>22</v>
      </c>
      <c r="B18" s="6">
        <v>3.4623599999999999</v>
      </c>
    </row>
    <row r="19" spans="1:2" x14ac:dyDescent="0.3">
      <c r="A19" t="s">
        <v>14</v>
      </c>
      <c r="B19" s="6">
        <v>467.01599999999996</v>
      </c>
    </row>
    <row r="20" spans="1:2" x14ac:dyDescent="0.3">
      <c r="A20" t="s">
        <v>10</v>
      </c>
      <c r="B20" s="6">
        <v>22.233744000000002</v>
      </c>
    </row>
    <row r="21" spans="1:2" x14ac:dyDescent="0.3">
      <c r="A21" t="s">
        <v>26</v>
      </c>
      <c r="B21" s="6">
        <v>39.79522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AC00D744-9258-4B4A-8485-AFFED59819D1}">
  <ds:schemaRefs/>
</ds:datastoreItem>
</file>

<file path=customXml/itemProps2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626DD-6137-4010-9F94-21E575FD7E49}">
  <ds:schemaRefs/>
</ds:datastoreItem>
</file>

<file path=customXml/itemProps4.xml><?xml version="1.0" encoding="utf-8"?>
<ds:datastoreItem xmlns:ds="http://schemas.openxmlformats.org/officeDocument/2006/customXml" ds:itemID="{662419FF-C7D0-4A43-B1BB-734381806590}">
  <ds:schemaRefs/>
</ds:datastoreItem>
</file>

<file path=customXml/itemProps5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9A88F95E-911F-46C1-B992-A6420137FB7B}">
  <ds:schemaRefs/>
</ds:datastoreItem>
</file>

<file path=customXml/itemProps7.xml><?xml version="1.0" encoding="utf-8"?>
<ds:datastoreItem xmlns:ds="http://schemas.openxmlformats.org/officeDocument/2006/customXml" ds:itemID="{72DA1581-D3E3-4A7F-97E2-2C0396C89BC7}">
  <ds:schemaRefs/>
</ds:datastoreItem>
</file>

<file path=customXml/itemProps8.xml><?xml version="1.0" encoding="utf-8"?>
<ds:datastoreItem xmlns:ds="http://schemas.openxmlformats.org/officeDocument/2006/customXml" ds:itemID="{63DFAEFB-68A1-45C4-BC3F-8DC965D73AED}">
  <ds:schemaRefs/>
</ds:datastoreItem>
</file>

<file path=customXml/itemProps9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10.xml><?xml version="1.0" encoding="utf-8"?>
<ds:datastoreItem xmlns:ds="http://schemas.openxmlformats.org/officeDocument/2006/customXml" ds:itemID="{A29C15FC-4088-4950-8ECC-BF69D3947DDB}">
  <ds:schemaRefs/>
</ds:datastoreItem>
</file>

<file path=customXml/itemProps11.xml><?xml version="1.0" encoding="utf-8"?>
<ds:datastoreItem xmlns:ds="http://schemas.openxmlformats.org/officeDocument/2006/customXml" ds:itemID="{510F5426-5D07-4A6A-A2D4-F9D0D310B0CA}">
  <ds:schemaRefs/>
</ds:datastoreItem>
</file>

<file path=customXml/itemProps12.xml><?xml version="1.0" encoding="utf-8"?>
<ds:datastoreItem xmlns:ds="http://schemas.openxmlformats.org/officeDocument/2006/customXml" ds:itemID="{2C27740E-72AC-4A7B-9FE3-C545D4D6406A}">
  <ds:schemaRefs/>
</ds:datastoreItem>
</file>

<file path=customXml/itemProps13.xml><?xml version="1.0" encoding="utf-8"?>
<ds:datastoreItem xmlns:ds="http://schemas.openxmlformats.org/officeDocument/2006/customXml" ds:itemID="{39296624-E1E2-444A-ABC2-A9DC4B6ACC20}">
  <ds:schemaRefs/>
</ds:datastoreItem>
</file>

<file path=customXml/itemProps14.xml><?xml version="1.0" encoding="utf-8"?>
<ds:datastoreItem xmlns:ds="http://schemas.openxmlformats.org/officeDocument/2006/customXml" ds:itemID="{64E693ED-C663-458C-885D-3B39068974A5}">
  <ds:schemaRefs/>
</ds:datastoreItem>
</file>

<file path=customXml/itemProps15.xml><?xml version="1.0" encoding="utf-8"?>
<ds:datastoreItem xmlns:ds="http://schemas.openxmlformats.org/officeDocument/2006/customXml" ds:itemID="{526006ED-0609-4229-A11F-B524C586AF87}">
  <ds:schemaRefs/>
</ds:datastoreItem>
</file>

<file path=customXml/itemProps16.xml><?xml version="1.0" encoding="utf-8"?>
<ds:datastoreItem xmlns:ds="http://schemas.openxmlformats.org/officeDocument/2006/customXml" ds:itemID="{AEF269D1-EAC9-452B-ABFF-30F1194CB0B8}">
  <ds:schemaRefs/>
</ds:datastoreItem>
</file>

<file path=customXml/itemProps17.xml><?xml version="1.0" encoding="utf-8"?>
<ds:datastoreItem xmlns:ds="http://schemas.openxmlformats.org/officeDocument/2006/customXml" ds:itemID="{9B451A74-F3AD-4799-AC03-3323C4C7DE20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71890A1D-5E8E-4756-8A05-7A9E5D3F93DC}">
  <ds:schemaRefs/>
</ds:datastoreItem>
</file>

<file path=customXml/itemProps19.xml><?xml version="1.0" encoding="utf-8"?>
<ds:datastoreItem xmlns:ds="http://schemas.openxmlformats.org/officeDocument/2006/customXml" ds:itemID="{7003BA78-C049-451E-86E2-6F3A75EAB4EC}">
  <ds:schemaRefs/>
</ds:datastoreItem>
</file>

<file path=customXml/itemProps20.xml><?xml version="1.0" encoding="utf-8"?>
<ds:datastoreItem xmlns:ds="http://schemas.openxmlformats.org/officeDocument/2006/customXml" ds:itemID="{8CDD8BE9-71F3-427F-972C-0C39814B26D4}">
  <ds:schemaRefs/>
</ds:datastoreItem>
</file>

<file path=customXml/itemProps21.xml><?xml version="1.0" encoding="utf-8"?>
<ds:datastoreItem xmlns:ds="http://schemas.openxmlformats.org/officeDocument/2006/customXml" ds:itemID="{42A49882-04B8-47C0-B3DA-1B0F22038235}">
  <ds:schemaRefs/>
</ds:datastoreItem>
</file>

<file path=customXml/itemProps22.xml><?xml version="1.0" encoding="utf-8"?>
<ds:datastoreItem xmlns:ds="http://schemas.openxmlformats.org/officeDocument/2006/customXml" ds:itemID="{9DD1EA0E-D7B0-4B14-AD76-3D3E85F4F65A}">
  <ds:schemaRefs/>
</ds:datastoreItem>
</file>

<file path=customXml/itemProps23.xml><?xml version="1.0" encoding="utf-8"?>
<ds:datastoreItem xmlns:ds="http://schemas.openxmlformats.org/officeDocument/2006/customXml" ds:itemID="{68F22532-B8F5-48D8-BFED-605991CB6C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Financials</vt:lpstr>
      <vt:lpstr>Studio Sales Report</vt:lpstr>
      <vt:lpstr>movies</vt:lpstr>
      <vt:lpstr>financials</vt:lpstr>
      <vt:lpstr>actors</vt:lpstr>
      <vt:lpstr>movie_actor</vt:lpstr>
      <vt:lpstr>languages</vt:lpstr>
      <vt:lpstr>Movies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Mihir Vaghasiya</cp:lastModifiedBy>
  <cp:lastPrinted>2026-07-19T00:01:04Z</cp:lastPrinted>
  <dcterms:created xsi:type="dcterms:W3CDTF">2015-06-05T18:17:20Z</dcterms:created>
  <dcterms:modified xsi:type="dcterms:W3CDTF">2026-07-20T23:59:27Z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